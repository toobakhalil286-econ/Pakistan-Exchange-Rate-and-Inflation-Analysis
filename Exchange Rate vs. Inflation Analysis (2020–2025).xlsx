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 activeTab="2"/>
  </bookViews>
  <sheets>
    <sheet name="raw_data" sheetId="1" r:id="rId1"/>
    <sheet name="Dashboard" sheetId="2" r:id="rId2"/>
    <sheet name="shee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<sst xmlns="http://schemas.openxmlformats.org/spreadsheetml/2006/main" count="104" uniqueCount="46">
  <si>
    <t>Date</t>
  </si>
  <si>
    <t>Year</t>
  </si>
  <si>
    <t>Month</t>
  </si>
  <si>
    <t>Exchange Rate</t>
  </si>
  <si>
    <t>Inflation Rate (%)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</si>
  <si>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</si>
  <si>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</si>
  <si>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</si>
  <si>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</si>
  <si>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</si>
  <si>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</si>
  <si>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</si>
  <si>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</si>
  <si>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</si>
  <si>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</si>
  <si>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</si>
  <si>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</si>
  <si>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Inflation Dynamics In Pakistan (2020-2025)</t>
  </si>
  <si>
    <t>Exchange Rate And Inflation Analysis Dashboard</t>
  </si>
  <si>
    <r>
      <t xml:space="preserve">Research Question:
 </t>
    </r>
    <r>
      <rPr>
        <sz val="18"/>
        <color theme="1"/>
        <rFont val="Calibri"/>
        <charset val="134"/>
        <scheme val="minor"/>
      </rPr>
      <t>How did inflation change from 2020 - 2025?</t>
    </r>
  </si>
  <si>
    <r>
      <t>Objective:</t>
    </r>
    <r>
      <rPr>
        <sz val="18"/>
        <color theme="1"/>
        <rFont val="Calibri"/>
        <charset val="134"/>
        <scheme val="minor"/>
      </rPr>
      <t xml:space="preserve"> 
Analysisof monthly CPI inflation trends using official data</t>
    </r>
  </si>
  <si>
    <r>
      <t>Average Inflation(%)</t>
    </r>
    <r>
      <rPr>
        <b/>
        <sz val="11"/>
        <color theme="0"/>
        <rFont val="Calibri"/>
        <charset val="134"/>
        <scheme val="minor"/>
      </rPr>
      <t xml:space="preserve">
</t>
    </r>
    <r>
      <rPr>
        <b/>
        <sz val="22"/>
        <color theme="0"/>
        <rFont val="Calibri"/>
        <charset val="134"/>
        <scheme val="minor"/>
      </rPr>
      <t>16.56%</t>
    </r>
  </si>
  <si>
    <r>
      <t>Highest Inflation:</t>
    </r>
    <r>
      <rPr>
        <b/>
        <sz val="11"/>
        <color theme="0"/>
        <rFont val="Calibri"/>
        <charset val="134"/>
        <scheme val="minor"/>
      </rPr>
      <t xml:space="preserve">
</t>
    </r>
    <r>
      <rPr>
        <b/>
        <sz val="22"/>
        <color theme="0"/>
        <rFont val="Calibri"/>
        <charset val="134"/>
        <scheme val="minor"/>
      </rPr>
      <t>38.00%</t>
    </r>
  </si>
  <si>
    <r>
      <t>Lowest Inflation:</t>
    </r>
    <r>
      <rPr>
        <b/>
        <sz val="11"/>
        <color theme="0"/>
        <rFont val="Calibri"/>
        <charset val="134"/>
        <scheme val="minor"/>
      </rPr>
      <t xml:space="preserve">
</t>
    </r>
    <r>
      <rPr>
        <b/>
        <sz val="22"/>
        <color theme="0"/>
        <rFont val="Calibri"/>
        <charset val="134"/>
        <scheme val="minor"/>
      </rPr>
      <t>3.20%</t>
    </r>
  </si>
  <si>
    <r>
      <t>Average Exchange Rate(%):</t>
    </r>
    <r>
      <rPr>
        <b/>
        <sz val="11"/>
        <color theme="0"/>
        <rFont val="Calibri"/>
        <charset val="134"/>
        <scheme val="minor"/>
      </rPr>
      <t xml:space="preserve">
</t>
    </r>
    <r>
      <rPr>
        <b/>
        <sz val="22"/>
        <color theme="0"/>
        <rFont val="Calibri"/>
        <charset val="134"/>
        <scheme val="minor"/>
      </rPr>
      <t>236.73%</t>
    </r>
  </si>
  <si>
    <r>
      <t xml:space="preserve">Higest Exchange Rate:
</t>
    </r>
    <r>
      <rPr>
        <b/>
        <sz val="22"/>
        <color theme="0"/>
        <rFont val="Calibri"/>
        <charset val="134"/>
        <scheme val="minor"/>
      </rPr>
      <t>304.85%</t>
    </r>
  </si>
  <si>
    <r>
      <t xml:space="preserve">Lowest Exchange Rate:
</t>
    </r>
    <r>
      <rPr>
        <b/>
        <sz val="22"/>
        <color theme="0"/>
        <rFont val="Calibri"/>
        <charset val="134"/>
        <scheme val="minor"/>
      </rPr>
      <t>152.54%</t>
    </r>
  </si>
  <si>
    <r>
      <t xml:space="preserve">Correlation:
</t>
    </r>
    <r>
      <rPr>
        <b/>
        <sz val="22"/>
        <color theme="0"/>
        <rFont val="Calibri"/>
        <charset val="134"/>
        <scheme val="minor"/>
      </rPr>
      <t>0.350%</t>
    </r>
  </si>
  <si>
    <t>Metric</t>
  </si>
  <si>
    <t>Value</t>
  </si>
  <si>
    <t>Average Exchange Rate</t>
  </si>
  <si>
    <t>Highest Exchange Rate</t>
  </si>
  <si>
    <t>Lowest Exchange Rate</t>
  </si>
  <si>
    <t>Average Inflation</t>
  </si>
  <si>
    <t>Highest Inflation</t>
  </si>
  <si>
    <t>Lowest Inflation</t>
  </si>
  <si>
    <t>Correlation Coefficient</t>
  </si>
  <si>
    <t>Key Findings</t>
  </si>
  <si>
    <t>Annual Summary (2020–2025)</t>
  </si>
  <si>
    <t>Key Findings
.</t>
  </si>
  <si>
    <t>Source: Pakistan Bureau of Statistics (PBS)
 | State Bank of Pakistan (SBP)
Prepared by: 
Tooba Khalil | Economics Data Analysis Project</t>
  </si>
  <si>
    <t>Avg Exchange Rate</t>
  </si>
  <si>
    <t>Avg Inflation</t>
  </si>
  <si>
    <t>• Inflation increased sharply after 2021 and peaked in 2023
• The Pakistani Rupee depreciated significantly during 2020–2025.
• Exchange rate and inflation show a moderate positive relationship (Correlation = 0.427).
• Inflation declined after 2023 but remained above pre-crisis levels.</t>
  </si>
  <si>
    <t>Average of Inflation Rate (%)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</si>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</sst>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0_ "/>
    <numFmt numFmtId="180" formatCode="0.0000_ "/>
    <numFmt numFmtId="181" formatCode="m/d/yyyy;@"/>
  </numFmts>
  <fonts count="51">
    <font>
      <sz val="11"/>
      <color theme="1"/>
      <name val="Calibri"/>
      <charset val="134"/>
      <scheme val="minor"/>
    </font>
    <font>
      <b/>
      <sz val="20"/>
      <color rgb="FF002060"/>
      <name val="Calibri"/>
      <charset val="134"/>
      <scheme val="minor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36"/>
      <color theme="4" tint="-0.5"/>
      <name val="Calibri"/>
      <charset val="134"/>
      <scheme val="minor"/>
    </font>
    <font>
      <b/>
      <sz val="26"/>
      <color theme="4" tint="-0.5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4" tint="-0.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4" tint="-0.5"/>
      <name val="Calibri"/>
      <charset val="134"/>
      <scheme val="minor"/>
    </font>
    <font>
      <b/>
      <sz val="16"/>
      <color theme="4" tint="-0.5"/>
      <name val="Calibri"/>
      <charset val="134"/>
      <scheme val="minor"/>
    </font>
    <font>
      <sz val="16"/>
      <color theme="4" tint="-0.5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20"/>
      <color theme="4" tint="-0.5"/>
      <name val="Calibri"/>
      <charset val="134"/>
      <scheme val="minor"/>
    </font>
    <font>
      <sz val="20"/>
      <color theme="4" tint="-0.5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22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b/>
      <sz val="12"/>
      <color theme="0"/>
      <name val="Google Sans Text"/>
      <charset val="134"/>
    </font>
    <font>
      <sz val="10"/>
      <color theme="1"/>
      <name val="Google Sans Tex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color theme="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33" applyNumberFormat="0" applyAlignment="0" applyProtection="0">
      <alignment vertical="center"/>
    </xf>
    <xf numFmtId="0" fontId="40" fillId="9" borderId="34" applyNumberFormat="0" applyAlignment="0" applyProtection="0">
      <alignment vertical="center"/>
    </xf>
    <xf numFmtId="0" fontId="41" fillId="9" borderId="33" applyNumberFormat="0" applyAlignment="0" applyProtection="0">
      <alignment vertical="center"/>
    </xf>
    <xf numFmtId="0" fontId="42" fillId="10" borderId="35" applyNumberFormat="0" applyAlignment="0" applyProtection="0">
      <alignment vertical="center"/>
    </xf>
    <xf numFmtId="0" fontId="43" fillId="0" borderId="36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8" fontId="0" fillId="0" borderId="0" xfId="0" applyNumberFormat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178" fontId="16" fillId="5" borderId="5" xfId="0" applyNumberFormat="1" applyFont="1" applyFill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9" fontId="0" fillId="0" borderId="8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0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 wrapText="1"/>
    </xf>
    <xf numFmtId="180" fontId="9" fillId="0" borderId="0" xfId="0" applyNumberFormat="1" applyFont="1" applyFill="1" applyAlignment="1">
      <alignment horizontal="center" vertical="center" wrapText="1"/>
    </xf>
    <xf numFmtId="180" fontId="9" fillId="0" borderId="5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center" vertical="center" wrapText="1"/>
    </xf>
    <xf numFmtId="179" fontId="9" fillId="0" borderId="0" xfId="0" applyNumberFormat="1" applyFont="1" applyFill="1" applyAlignment="1">
      <alignment horizontal="center" vertical="center" wrapText="1"/>
    </xf>
    <xf numFmtId="179" fontId="9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180" fontId="9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180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9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180" fontId="3" fillId="0" borderId="8" xfId="0" applyNumberFormat="1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9" fillId="6" borderId="28" xfId="0" applyFont="1" applyFill="1" applyBorder="1" applyAlignment="1">
      <alignment horizontal="center" vertical="center" wrapText="1" readingOrder="1"/>
    </xf>
    <xf numFmtId="17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30" fillId="0" borderId="29" xfId="0" applyFont="1" applyFill="1" applyBorder="1" applyAlignment="1">
      <alignment horizontal="right" wrapText="1" readingOrder="1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Monthly Inflation Rate in Pakistan (2020–2025)</a:t>
            </a:r>
            <a:endParaRPr sz="2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raw_data!$E$1</c:f>
              <c:strCache>
                <c:ptCount val="1"/>
                <c:pt idx="0">
                  <c:v>Inflation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raw_data!$E$2:$E$72</c:f>
              <c:numCache>
                <c:formatCode>General</c:formatCode>
                <c:ptCount val="71"/>
                <c:pt idx="0">
                  <c:v>14.6</c:v>
                </c:pt>
                <c:pt idx="1">
                  <c:v>12.4</c:v>
                </c:pt>
                <c:pt idx="2">
                  <c:v>10.2</c:v>
                </c:pt>
                <c:pt idx="3">
                  <c:v>8.5</c:v>
                </c:pt>
                <c:pt idx="4">
                  <c:v>8.2</c:v>
                </c:pt>
                <c:pt idx="5">
                  <c:v>8.6</c:v>
                </c:pt>
                <c:pt idx="6">
                  <c:v>9.3</c:v>
                </c:pt>
                <c:pt idx="7">
                  <c:v>8.2</c:v>
                </c:pt>
                <c:pt idx="8">
                  <c:v>9</c:v>
                </c:pt>
                <c:pt idx="9">
                  <c:v>8.9</c:v>
                </c:pt>
                <c:pt idx="10">
                  <c:v>8.3</c:v>
                </c:pt>
                <c:pt idx="11">
                  <c:v>8</c:v>
                </c:pt>
                <c:pt idx="12">
                  <c:v>5.7</c:v>
                </c:pt>
                <c:pt idx="13">
                  <c:v>8.7</c:v>
                </c:pt>
                <c:pt idx="14">
                  <c:v>9.1</c:v>
                </c:pt>
                <c:pt idx="15">
                  <c:v>11.1</c:v>
                </c:pt>
                <c:pt idx="16">
                  <c:v>10.9</c:v>
                </c:pt>
                <c:pt idx="17">
                  <c:v>9.7</c:v>
                </c:pt>
                <c:pt idx="18">
                  <c:v>8.4</c:v>
                </c:pt>
                <c:pt idx="19">
                  <c:v>8.4</c:v>
                </c:pt>
                <c:pt idx="20">
                  <c:v>9</c:v>
                </c:pt>
                <c:pt idx="21">
                  <c:v>9.2</c:v>
                </c:pt>
                <c:pt idx="22">
                  <c:v>11.5</c:v>
                </c:pt>
                <c:pt idx="23">
                  <c:v>12.3</c:v>
                </c:pt>
                <c:pt idx="24">
                  <c:v>13</c:v>
                </c:pt>
                <c:pt idx="25">
                  <c:v>12.2</c:v>
                </c:pt>
                <c:pt idx="26">
                  <c:v>12.7</c:v>
                </c:pt>
                <c:pt idx="27">
                  <c:v>13.4</c:v>
                </c:pt>
                <c:pt idx="28">
                  <c:v>13.8</c:v>
                </c:pt>
                <c:pt idx="29">
                  <c:v>21.3</c:v>
                </c:pt>
                <c:pt idx="30">
                  <c:v>24.9</c:v>
                </c:pt>
                <c:pt idx="31">
                  <c:v>27.3</c:v>
                </c:pt>
                <c:pt idx="32">
                  <c:v>23.2</c:v>
                </c:pt>
                <c:pt idx="33">
                  <c:v>26.6</c:v>
                </c:pt>
                <c:pt idx="34">
                  <c:v>23.8</c:v>
                </c:pt>
                <c:pt idx="35">
                  <c:v>24.5</c:v>
                </c:pt>
                <c:pt idx="36">
                  <c:v>27.6</c:v>
                </c:pt>
                <c:pt idx="37">
                  <c:v>31.5</c:v>
                </c:pt>
                <c:pt idx="38">
                  <c:v>35.4</c:v>
                </c:pt>
                <c:pt idx="39">
                  <c:v>36.4</c:v>
                </c:pt>
                <c:pt idx="40">
                  <c:v>38</c:v>
                </c:pt>
                <c:pt idx="41">
                  <c:v>29.4</c:v>
                </c:pt>
                <c:pt idx="42">
                  <c:v>28.3</c:v>
                </c:pt>
                <c:pt idx="43">
                  <c:v>27.4</c:v>
                </c:pt>
                <c:pt idx="44">
                  <c:v>31.4</c:v>
                </c:pt>
                <c:pt idx="45">
                  <c:v>26.9</c:v>
                </c:pt>
                <c:pt idx="46">
                  <c:v>29.2</c:v>
                </c:pt>
                <c:pt idx="47">
                  <c:v>29.7</c:v>
                </c:pt>
                <c:pt idx="48">
                  <c:v>28.3</c:v>
                </c:pt>
                <c:pt idx="49">
                  <c:v>23.1</c:v>
                </c:pt>
                <c:pt idx="50">
                  <c:v>20.7</c:v>
                </c:pt>
                <c:pt idx="51">
                  <c:v>17.3</c:v>
                </c:pt>
                <c:pt idx="52">
                  <c:v>11.8</c:v>
                </c:pt>
                <c:pt idx="53">
                  <c:v>12.6</c:v>
                </c:pt>
                <c:pt idx="54">
                  <c:v>11.1</c:v>
                </c:pt>
                <c:pt idx="55">
                  <c:v>9.6</c:v>
                </c:pt>
                <c:pt idx="56">
                  <c:v>6.9</c:v>
                </c:pt>
                <c:pt idx="57">
                  <c:v>7.2</c:v>
                </c:pt>
                <c:pt idx="58">
                  <c:v>4.9</c:v>
                </c:pt>
                <c:pt idx="59">
                  <c:v>4.1</c:v>
                </c:pt>
                <c:pt idx="60">
                  <c:v>3.8</c:v>
                </c:pt>
                <c:pt idx="61">
                  <c:v>4</c:v>
                </c:pt>
                <c:pt idx="62">
                  <c:v>4.2</c:v>
                </c:pt>
                <c:pt idx="63">
                  <c:v>4.5</c:v>
                </c:pt>
                <c:pt idx="64">
                  <c:v>3.5</c:v>
                </c:pt>
                <c:pt idx="65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8898121"/>
        <c:axId val="617472528"/>
      </c:lineChart>
      <c:catAx>
        <c:axId val="80889812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472528"/>
        <c:crosses val="autoZero"/>
        <c:auto val="1"/>
        <c:lblAlgn val="ctr"/>
        <c:lblOffset val="100"/>
        <c:noMultiLvlLbl val="0"/>
      </c:catAx>
      <c:valAx>
        <c:axId val="617472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8981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6196414653157"/>
          <c:y val="0.881541265295496"/>
          <c:w val="0.335931410756041"/>
          <c:h val="0.11064826868003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ba107f-857c-47a6-8d03-14e5f1723b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Monthly USD/PKR Exchange Rate (2020–2025)</a:t>
            </a:r>
            <a:endParaRPr sz="2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raw_data!$D$1</c:f>
              <c:strCache>
                <c:ptCount val="1"/>
                <c:pt idx="0">
                  <c:v>Exchange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raw_data!$D$2:$D$72</c:f>
              <c:numCache>
                <c:formatCode>General</c:formatCode>
                <c:ptCount val="71"/>
                <c:pt idx="0">
                  <c:v>154.397586</c:v>
                </c:pt>
                <c:pt idx="1">
                  <c:v>154.133276</c:v>
                </c:pt>
                <c:pt idx="2">
                  <c:v>165.923103</c:v>
                </c:pt>
                <c:pt idx="3">
                  <c:v>160.842414</c:v>
                </c:pt>
                <c:pt idx="4">
                  <c:v>162.283571</c:v>
                </c:pt>
                <c:pt idx="5">
                  <c:v>167.732439</c:v>
                </c:pt>
                <c:pt idx="6">
                  <c:v>166.910345</c:v>
                </c:pt>
                <c:pt idx="7">
                  <c:v>166.386552</c:v>
                </c:pt>
                <c:pt idx="8">
                  <c:v>165.632759</c:v>
                </c:pt>
                <c:pt idx="9">
                  <c:v>160.250345</c:v>
                </c:pt>
                <c:pt idx="10">
                  <c:v>159.196897</c:v>
                </c:pt>
                <c:pt idx="11">
                  <c:v>159.770345</c:v>
                </c:pt>
                <c:pt idx="12">
                  <c:v>160.012069</c:v>
                </c:pt>
                <c:pt idx="13">
                  <c:v>158.062069</c:v>
                </c:pt>
                <c:pt idx="14">
                  <c:v>152.538621</c:v>
                </c:pt>
                <c:pt idx="15">
                  <c:v>153.46931</c:v>
                </c:pt>
                <c:pt idx="16">
                  <c:v>154.168621</c:v>
                </c:pt>
                <c:pt idx="17">
                  <c:v>157.31931</c:v>
                </c:pt>
                <c:pt idx="18">
                  <c:v>161.628276</c:v>
                </c:pt>
                <c:pt idx="19">
                  <c:v>165.826207</c:v>
                </c:pt>
                <c:pt idx="20">
                  <c:v>170.311724</c:v>
                </c:pt>
                <c:pt idx="21">
                  <c:v>171.640345</c:v>
                </c:pt>
                <c:pt idx="22">
                  <c:v>175.75931</c:v>
                </c:pt>
                <c:pt idx="23">
                  <c:v>176.537241</c:v>
                </c:pt>
                <c:pt idx="24">
                  <c:v>176.565517</c:v>
                </c:pt>
                <c:pt idx="25">
                  <c:v>177.05431</c:v>
                </c:pt>
                <c:pt idx="26">
                  <c:v>182.923276</c:v>
                </c:pt>
                <c:pt idx="27">
                  <c:v>185.472586</c:v>
                </c:pt>
                <c:pt idx="28">
                  <c:v>198.849138</c:v>
                </c:pt>
                <c:pt idx="29">
                  <c:v>204.624828</c:v>
                </c:pt>
                <c:pt idx="30">
                  <c:v>239.941379</c:v>
                </c:pt>
                <c:pt idx="31">
                  <c:v>218.964828</c:v>
                </c:pt>
                <c:pt idx="32">
                  <c:v>228.3798276</c:v>
                </c:pt>
                <c:pt idx="33">
                  <c:v>221.212931</c:v>
                </c:pt>
                <c:pt idx="34">
                  <c:v>223.6862069</c:v>
                </c:pt>
                <c:pt idx="35">
                  <c:v>226.3</c:v>
                </c:pt>
                <c:pt idx="36">
                  <c:v>267.9036207</c:v>
                </c:pt>
                <c:pt idx="37">
                  <c:v>260.5617241</c:v>
                </c:pt>
                <c:pt idx="38">
                  <c:v>283.5837931</c:v>
                </c:pt>
                <c:pt idx="39">
                  <c:v>283.5665517</c:v>
                </c:pt>
                <c:pt idx="40">
                  <c:v>285.2310345</c:v>
                </c:pt>
                <c:pt idx="41">
                  <c:v>286.137931</c:v>
                </c:pt>
                <c:pt idx="42">
                  <c:v>286.3289655</c:v>
                </c:pt>
                <c:pt idx="43">
                  <c:v>304.8468966</c:v>
                </c:pt>
                <c:pt idx="44">
                  <c:v>287.8848276</c:v>
                </c:pt>
                <c:pt idx="45">
                  <c:v>280.8482759</c:v>
                </c:pt>
                <c:pt idx="46">
                  <c:v>285.0310345</c:v>
                </c:pt>
                <c:pt idx="47">
                  <c:v>281.7521034</c:v>
                </c:pt>
                <c:pt idx="48">
                  <c:v>279.3289655</c:v>
                </c:pt>
                <c:pt idx="49">
                  <c:v>278.9565517</c:v>
                </c:pt>
                <c:pt idx="50">
                  <c:v>277.987931</c:v>
                </c:pt>
                <c:pt idx="51">
                  <c:v>278.3341379</c:v>
                </c:pt>
                <c:pt idx="52">
                  <c:v>278.4</c:v>
                </c:pt>
                <c:pt idx="53">
                  <c:v>278.3327586</c:v>
                </c:pt>
                <c:pt idx="54">
                  <c:v>278.5913793</c:v>
                </c:pt>
                <c:pt idx="55">
                  <c:v>278.5362069</c:v>
                </c:pt>
                <c:pt idx="56">
                  <c:v>277.6517241</c:v>
                </c:pt>
                <c:pt idx="57">
                  <c:v>277.7931034</c:v>
                </c:pt>
                <c:pt idx="58">
                  <c:v>277.9293103</c:v>
                </c:pt>
                <c:pt idx="59">
                  <c:v>278.4431034</c:v>
                </c:pt>
                <c:pt idx="60">
                  <c:v>278.8403448</c:v>
                </c:pt>
                <c:pt idx="61">
                  <c:v>279.662069</c:v>
                </c:pt>
                <c:pt idx="62">
                  <c:v>280.1931034</c:v>
                </c:pt>
                <c:pt idx="63">
                  <c:v>280.9965517</c:v>
                </c:pt>
                <c:pt idx="64">
                  <c:v>282.0137931</c:v>
                </c:pt>
                <c:pt idx="65">
                  <c:v>283.7285714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6535594"/>
        <c:axId val="638032491"/>
      </c:lineChart>
      <c:catAx>
        <c:axId val="89653559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032491"/>
        <c:crosses val="autoZero"/>
        <c:auto val="1"/>
        <c:lblAlgn val="ctr"/>
        <c:lblOffset val="100"/>
        <c:noMultiLvlLbl val="0"/>
      </c:catAx>
      <c:valAx>
        <c:axId val="6380324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5355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357fbf-ea2d-4cf3-876d-20ba484436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Annual Average Exchange Rate &amp; Inflation (2020–2025)</a:t>
            </a:r>
            <a:endParaRPr sz="2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0252282928339"/>
          <c:y val="0.218333664744482"/>
          <c:w val="0.965949543414332"/>
          <c:h val="0.632412010340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Metric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Dashboard!$A$13:$A$18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Dashboard!$B$12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Dashboard!$B$13:$B$18</c:f>
              <c:numCache>
                <c:formatCode>0.00_ </c:formatCode>
                <c:ptCount val="6"/>
                <c:pt idx="0">
                  <c:v>236.734811629091</c:v>
                </c:pt>
                <c:pt idx="1">
                  <c:v>304.8468966</c:v>
                </c:pt>
                <c:pt idx="2">
                  <c:v>152.538621</c:v>
                </c:pt>
                <c:pt idx="3">
                  <c:v>16.5581818181818</c:v>
                </c:pt>
                <c:pt idx="4">
                  <c:v>38</c:v>
                </c:pt>
                <c:pt idx="5">
                  <c:v>3.2</c:v>
                </c:pt>
              </c:numCache>
            </c:numRef>
          </c:val>
        </c:ser>
        <c:ser>
          <c:idx val="2"/>
          <c:order val="2"/>
          <c:tx>
            <c:strRef>
              <c:f>Dashboard!$C$12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Dashboard!$C$13:$C$18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1621209"/>
        <c:axId val="522395128"/>
      </c:barChart>
      <c:catAx>
        <c:axId val="7916212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395128"/>
        <c:crosses val="autoZero"/>
        <c:auto val="1"/>
        <c:lblAlgn val="ctr"/>
        <c:lblOffset val="100"/>
        <c:noMultiLvlLbl val="0"/>
      </c:catAx>
      <c:valAx>
        <c:axId val="522395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621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[Workbook1]sheet!PivotTable2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Average Inflation Rate in Pakistan (2020–2025)</a:t>
            </a:r>
            <a:endParaRPr sz="2000"/>
          </a:p>
        </c:rich>
      </c:tx>
      <c:layout>
        <c:manualLayout>
          <c:xMode val="edge"/>
          <c:yMode val="edge"/>
          <c:x val="0.203327530576507"/>
          <c:y val="0.07618862764579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sheet!$B$4:$B$10</c:f>
              <c:numCache>
                <c:formatCode>General</c:formatCode>
                <c:ptCount val="6"/>
                <c:pt idx="0">
                  <c:v>9.51666666666667</c:v>
                </c:pt>
                <c:pt idx="1">
                  <c:v>9.5</c:v>
                </c:pt>
                <c:pt idx="2">
                  <c:v>19.725</c:v>
                </c:pt>
                <c:pt idx="3">
                  <c:v>30.9333333333333</c:v>
                </c:pt>
                <c:pt idx="4">
                  <c:v>13.1333333333333</c:v>
                </c:pt>
                <c:pt idx="5">
                  <c:v>3.86666666666667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52257432"/>
        <c:axId val="919612290"/>
      </c:barChart>
      <c:catAx>
        <c:axId val="652257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612290"/>
        <c:crosses val="autoZero"/>
        <c:auto val="1"/>
        <c:lblAlgn val="ctr"/>
        <c:lblOffset val="100"/>
        <c:noMultiLvlLbl val="0"/>
      </c:catAx>
      <c:valAx>
        <c:axId val="9196122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25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22af14-ccd5-41e2-85b3-a967a0606e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[Workbook1]sheet!PivotTable2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Inflation Rate in Pakistan (2020–2025)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sheet!$B$4:$B$10</c:f>
              <c:numCache>
                <c:formatCode>General</c:formatCode>
                <c:ptCount val="6"/>
                <c:pt idx="0">
                  <c:v>9.51666666666667</c:v>
                </c:pt>
                <c:pt idx="1">
                  <c:v>9.5</c:v>
                </c:pt>
                <c:pt idx="2">
                  <c:v>19.725</c:v>
                </c:pt>
                <c:pt idx="3">
                  <c:v>30.9333333333333</c:v>
                </c:pt>
                <c:pt idx="4">
                  <c:v>13.1333333333333</c:v>
                </c:pt>
                <c:pt idx="5">
                  <c:v>3.86666666666667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52257432"/>
        <c:axId val="919612290"/>
      </c:barChart>
      <c:catAx>
        <c:axId val="652257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612290"/>
        <c:crosses val="autoZero"/>
        <c:auto val="1"/>
        <c:lblAlgn val="ctr"/>
        <c:lblOffset val="100"/>
        <c:noMultiLvlLbl val="0"/>
      </c:catAx>
      <c:valAx>
        <c:axId val="9196122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25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8</xdr:row>
      <xdr:rowOff>69215</xdr:rowOff>
    </xdr:from>
    <xdr:to>
      <xdr:col>20</xdr:col>
      <xdr:colOff>828040</xdr:colOff>
      <xdr:row>27</xdr:row>
      <xdr:rowOff>135255</xdr:rowOff>
    </xdr:to>
    <xdr:graphicFrame>
      <xdr:nvGraphicFramePr>
        <xdr:cNvPr id="2" name="Chart 1"/>
        <xdr:cNvGraphicFramePr/>
      </xdr:nvGraphicFramePr>
      <xdr:xfrm>
        <a:off x="9525" y="4285615"/>
        <a:ext cx="23580090" cy="411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462915</xdr:colOff>
      <xdr:row>28</xdr:row>
      <xdr:rowOff>307975</xdr:rowOff>
    </xdr:from>
    <xdr:to>
      <xdr:col>20</xdr:col>
      <xdr:colOff>896620</xdr:colOff>
      <xdr:row>43</xdr:row>
      <xdr:rowOff>172085</xdr:rowOff>
    </xdr:to>
    <xdr:graphicFrame>
      <xdr:nvGraphicFramePr>
        <xdr:cNvPr id="3" name="Chart 2"/>
        <xdr:cNvGraphicFramePr/>
      </xdr:nvGraphicFramePr>
      <xdr:xfrm>
        <a:off x="17817465" y="8763000"/>
        <a:ext cx="5840730" cy="4204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28</xdr:row>
      <xdr:rowOff>273050</xdr:rowOff>
    </xdr:from>
    <xdr:to>
      <xdr:col>6</xdr:col>
      <xdr:colOff>493395</xdr:colOff>
      <xdr:row>43</xdr:row>
      <xdr:rowOff>219710</xdr:rowOff>
    </xdr:to>
    <xdr:graphicFrame>
      <xdr:nvGraphicFramePr>
        <xdr:cNvPr id="4" name="Chart 3"/>
        <xdr:cNvGraphicFramePr/>
      </xdr:nvGraphicFramePr>
      <xdr:xfrm>
        <a:off x="50800" y="8728075"/>
        <a:ext cx="8246745" cy="4286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1072515</xdr:colOff>
      <xdr:row>28</xdr:row>
      <xdr:rowOff>269240</xdr:rowOff>
    </xdr:from>
    <xdr:to>
      <xdr:col>15</xdr:col>
      <xdr:colOff>70485</xdr:colOff>
      <xdr:row>43</xdr:row>
      <xdr:rowOff>204470</xdr:rowOff>
    </xdr:to>
    <xdr:graphicFrame>
      <xdr:nvGraphicFramePr>
        <xdr:cNvPr id="5" name="Chart 4"/>
        <xdr:cNvGraphicFramePr/>
      </xdr:nvGraphicFramePr>
      <xdr:xfrm>
        <a:off x="8876665" y="8724265"/>
        <a:ext cx="8548370" cy="427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371475</xdr:colOff>
      <xdr:row>7</xdr:row>
      <xdr:rowOff>88900</xdr:rowOff>
    </xdr:from>
    <xdr:to>
      <xdr:col>10</xdr:col>
      <xdr:colOff>320675</xdr:colOff>
      <xdr:row>21</xdr:row>
      <xdr:rowOff>165100</xdr:rowOff>
    </xdr:to>
    <xdr:graphicFrame>
      <xdr:nvGraphicFramePr>
        <xdr:cNvPr id="2" name="Chart 1"/>
        <xdr:cNvGraphicFramePr/>
      </xdr:nvGraphicFramePr>
      <xdr:xfrm>
        <a:off x="3124200" y="1422400"/>
        <a:ext cx="4826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3.6499537037" refreshedBy="tooba" recordCount="66">
  <cacheSource type="worksheet">
    <worksheetSource ref="A1:E67" sheet="raw_data"/>
  </cacheSource>
  <cacheFields count="5">
    <cacheField name="Date" numFmtId="17">
      <sharedItems containsSemiMixedTypes="0" containsString="0" containsNonDate="0" containsDate="1" minDate="2026-01-20T00:00:00" maxDate="2026-12-24T00:00:00" count="66">
        <d v="2026-01-20T00:00:00"/>
        <d v="2026-02-20T00:00:00"/>
        <d v="2026-03-20T00:00:00"/>
        <d v="2026-04-20T00:00:00"/>
        <d v="2026-05-20T00:00:00"/>
        <d v="2026-06-20T00:00:00"/>
        <d v="2026-07-20T00:00:00"/>
        <d v="2026-08-20T00:00:00"/>
        <d v="2026-09-20T00:00:00"/>
        <d v="2026-10-20T00:00:00"/>
        <d v="2026-11-20T00:00:00"/>
        <d v="2026-12-20T00:00:00"/>
        <d v="2026-01-21T00:00:00"/>
        <d v="2026-02-21T00:00:00"/>
        <d v="2026-03-21T00:00:00"/>
        <d v="2026-04-21T00:00:00"/>
        <d v="2026-05-21T00:00:00"/>
        <d v="2026-06-21T00:00:00"/>
        <d v="2026-07-21T00:00:00"/>
        <d v="2026-08-21T00:00:00"/>
        <d v="2026-09-21T00:00:00"/>
        <d v="2026-10-21T00:00:00"/>
        <d v="2026-11-21T00:00:00"/>
        <d v="2026-12-21T00:00:00"/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</sharedItems>
    </cacheField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Exchange Rate" numFmtId="0">
      <sharedItems containsSemiMixedTypes="0" containsString="0" containsNumber="1" minValue="152.538621" maxValue="304.8468966" count="66">
        <n v="154.397586"/>
        <n v="154.133276"/>
        <n v="165.923103"/>
        <n v="160.842414"/>
        <n v="162.283571"/>
        <n v="167.732439"/>
        <n v="166.910345"/>
        <n v="166.386552"/>
        <n v="165.632759"/>
        <n v="160.250345"/>
        <n v="159.196897"/>
        <n v="159.770345"/>
        <n v="160.012069"/>
        <n v="158.062069"/>
        <n v="152.538621"/>
        <n v="153.46931"/>
        <n v="154.168621"/>
        <n v="157.31931"/>
        <n v="161.628276"/>
        <n v="165.826207"/>
        <n v="170.311724"/>
        <n v="171.640345"/>
        <n v="175.75931"/>
        <n v="176.537241"/>
        <n v="176.565517"/>
        <n v="177.05431"/>
        <n v="182.923276"/>
        <n v="185.472586"/>
        <n v="198.849138"/>
        <n v="204.624828"/>
        <n v="239.941379"/>
        <n v="218.964828"/>
        <n v="228.3798276"/>
        <n v="221.212931"/>
        <n v="223.6862069"/>
        <n v="226.3"/>
        <n v="267.9036207"/>
        <n v="260.5617241"/>
        <n v="283.5837931"/>
        <n v="283.5665517"/>
        <n v="285.2310345"/>
        <n v="286.137931"/>
        <n v="286.3289655"/>
        <n v="304.8468966"/>
        <n v="287.8848276"/>
        <n v="280.8482759"/>
        <n v="285.0310345"/>
        <n v="281.7521034"/>
        <n v="279.3289655"/>
        <n v="278.9565517"/>
        <n v="277.987931"/>
        <n v="278.3341379"/>
        <n v="278.4"/>
        <n v="278.3327586"/>
        <n v="278.5913793"/>
        <n v="278.5362069"/>
        <n v="277.6517241"/>
        <n v="277.7931034"/>
        <n v="277.9293103"/>
        <n v="278.4431034"/>
        <n v="278.8403448"/>
        <n v="279.662069"/>
        <n v="280.1931034"/>
        <n v="280.9965517"/>
        <n v="282.0137931"/>
        <n v="283.7285714"/>
      </sharedItems>
    </cacheField>
    <cacheField name="Inflation Rate (%)" numFmtId="0">
      <sharedItems containsSemiMixedTypes="0" containsString="0" containsNumber="1" minValue="3.2" maxValue="38" count="61">
        <n v="14.6"/>
        <n v="12.4"/>
        <n v="10.2"/>
        <n v="8.5"/>
        <n v="8.2"/>
        <n v="8.6"/>
        <n v="9.3"/>
        <n v="9"/>
        <n v="8.9"/>
        <n v="8.3"/>
        <n v="8"/>
        <n v="5.7"/>
        <n v="8.7"/>
        <n v="9.1"/>
        <n v="11.1"/>
        <n v="10.9"/>
        <n v="9.7"/>
        <n v="8.4"/>
        <n v="9.2"/>
        <n v="11.5"/>
        <n v="12.3"/>
        <n v="13"/>
        <n v="12.2"/>
        <n v="12.7"/>
        <n v="13.4"/>
        <n v="13.8"/>
        <n v="21.3"/>
        <n v="24.9"/>
        <n v="27.3"/>
        <n v="23.2"/>
        <n v="26.6"/>
        <n v="23.8"/>
        <n v="24.5"/>
        <n v="27.6"/>
        <n v="31.5"/>
        <n v="35.4"/>
        <n v="36.4"/>
        <n v="38"/>
        <n v="29.4"/>
        <n v="28.3"/>
        <n v="27.4"/>
        <n v="31.4"/>
        <n v="26.9"/>
        <n v="29.2"/>
        <n v="29.7"/>
        <n v="23.1"/>
        <n v="20.7"/>
        <n v="17.3"/>
        <n v="11.8"/>
        <n v="12.6"/>
        <n v="9.6"/>
        <n v="6.9"/>
        <n v="7.2"/>
        <n v="4.9"/>
        <n v="4.1"/>
        <n v="3.8"/>
        <n v="4"/>
        <n v="4.2"/>
        <n v="4.5"/>
        <n v="3.5"/>
        <n v="3.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">
  <r>
    <x v="0"/>
    <x v="0"/>
    <x v="0"/>
    <x v="0"/>
    <x v="0"/>
  </r>
  <r>
    <x v="1"/>
    <x v="0"/>
    <x v="1"/>
    <x v="1"/>
    <x v="1"/>
  </r>
  <r>
    <x v="2"/>
    <x v="0"/>
    <x v="2"/>
    <x v="2"/>
    <x v="2"/>
  </r>
  <r>
    <x v="3"/>
    <x v="0"/>
    <x v="3"/>
    <x v="3"/>
    <x v="3"/>
  </r>
  <r>
    <x v="4"/>
    <x v="0"/>
    <x v="4"/>
    <x v="4"/>
    <x v="4"/>
  </r>
  <r>
    <x v="5"/>
    <x v="0"/>
    <x v="5"/>
    <x v="5"/>
    <x v="5"/>
  </r>
  <r>
    <x v="6"/>
    <x v="0"/>
    <x v="6"/>
    <x v="6"/>
    <x v="6"/>
  </r>
  <r>
    <x v="7"/>
    <x v="0"/>
    <x v="7"/>
    <x v="7"/>
    <x v="4"/>
  </r>
  <r>
    <x v="8"/>
    <x v="0"/>
    <x v="8"/>
    <x v="8"/>
    <x v="7"/>
  </r>
  <r>
    <x v="9"/>
    <x v="0"/>
    <x v="9"/>
    <x v="9"/>
    <x v="8"/>
  </r>
  <r>
    <x v="10"/>
    <x v="0"/>
    <x v="10"/>
    <x v="10"/>
    <x v="9"/>
  </r>
  <r>
    <x v="11"/>
    <x v="0"/>
    <x v="11"/>
    <x v="11"/>
    <x v="10"/>
  </r>
  <r>
    <x v="12"/>
    <x v="1"/>
    <x v="0"/>
    <x v="12"/>
    <x v="11"/>
  </r>
  <r>
    <x v="13"/>
    <x v="1"/>
    <x v="1"/>
    <x v="13"/>
    <x v="12"/>
  </r>
  <r>
    <x v="14"/>
    <x v="1"/>
    <x v="2"/>
    <x v="14"/>
    <x v="13"/>
  </r>
  <r>
    <x v="15"/>
    <x v="1"/>
    <x v="3"/>
    <x v="15"/>
    <x v="14"/>
  </r>
  <r>
    <x v="16"/>
    <x v="1"/>
    <x v="4"/>
    <x v="16"/>
    <x v="15"/>
  </r>
  <r>
    <x v="17"/>
    <x v="1"/>
    <x v="5"/>
    <x v="17"/>
    <x v="16"/>
  </r>
  <r>
    <x v="18"/>
    <x v="1"/>
    <x v="6"/>
    <x v="18"/>
    <x v="17"/>
  </r>
  <r>
    <x v="19"/>
    <x v="1"/>
    <x v="7"/>
    <x v="19"/>
    <x v="17"/>
  </r>
  <r>
    <x v="20"/>
    <x v="1"/>
    <x v="8"/>
    <x v="20"/>
    <x v="7"/>
  </r>
  <r>
    <x v="21"/>
    <x v="1"/>
    <x v="9"/>
    <x v="21"/>
    <x v="18"/>
  </r>
  <r>
    <x v="22"/>
    <x v="1"/>
    <x v="10"/>
    <x v="22"/>
    <x v="19"/>
  </r>
  <r>
    <x v="23"/>
    <x v="1"/>
    <x v="11"/>
    <x v="23"/>
    <x v="20"/>
  </r>
  <r>
    <x v="24"/>
    <x v="2"/>
    <x v="0"/>
    <x v="24"/>
    <x v="21"/>
  </r>
  <r>
    <x v="25"/>
    <x v="2"/>
    <x v="1"/>
    <x v="25"/>
    <x v="22"/>
  </r>
  <r>
    <x v="26"/>
    <x v="2"/>
    <x v="2"/>
    <x v="26"/>
    <x v="23"/>
  </r>
  <r>
    <x v="27"/>
    <x v="2"/>
    <x v="3"/>
    <x v="27"/>
    <x v="24"/>
  </r>
  <r>
    <x v="28"/>
    <x v="2"/>
    <x v="4"/>
    <x v="28"/>
    <x v="25"/>
  </r>
  <r>
    <x v="29"/>
    <x v="2"/>
    <x v="5"/>
    <x v="29"/>
    <x v="26"/>
  </r>
  <r>
    <x v="30"/>
    <x v="2"/>
    <x v="6"/>
    <x v="30"/>
    <x v="27"/>
  </r>
  <r>
    <x v="31"/>
    <x v="2"/>
    <x v="7"/>
    <x v="31"/>
    <x v="28"/>
  </r>
  <r>
    <x v="32"/>
    <x v="2"/>
    <x v="8"/>
    <x v="32"/>
    <x v="29"/>
  </r>
  <r>
    <x v="33"/>
    <x v="2"/>
    <x v="9"/>
    <x v="33"/>
    <x v="30"/>
  </r>
  <r>
    <x v="34"/>
    <x v="2"/>
    <x v="10"/>
    <x v="34"/>
    <x v="31"/>
  </r>
  <r>
    <x v="35"/>
    <x v="2"/>
    <x v="11"/>
    <x v="35"/>
    <x v="32"/>
  </r>
  <r>
    <x v="36"/>
    <x v="3"/>
    <x v="0"/>
    <x v="36"/>
    <x v="33"/>
  </r>
  <r>
    <x v="37"/>
    <x v="3"/>
    <x v="1"/>
    <x v="37"/>
    <x v="34"/>
  </r>
  <r>
    <x v="38"/>
    <x v="3"/>
    <x v="2"/>
    <x v="38"/>
    <x v="35"/>
  </r>
  <r>
    <x v="39"/>
    <x v="3"/>
    <x v="3"/>
    <x v="39"/>
    <x v="36"/>
  </r>
  <r>
    <x v="40"/>
    <x v="3"/>
    <x v="4"/>
    <x v="40"/>
    <x v="37"/>
  </r>
  <r>
    <x v="41"/>
    <x v="3"/>
    <x v="5"/>
    <x v="41"/>
    <x v="38"/>
  </r>
  <r>
    <x v="42"/>
    <x v="3"/>
    <x v="6"/>
    <x v="42"/>
    <x v="39"/>
  </r>
  <r>
    <x v="43"/>
    <x v="3"/>
    <x v="7"/>
    <x v="43"/>
    <x v="40"/>
  </r>
  <r>
    <x v="44"/>
    <x v="3"/>
    <x v="8"/>
    <x v="44"/>
    <x v="41"/>
  </r>
  <r>
    <x v="45"/>
    <x v="3"/>
    <x v="9"/>
    <x v="45"/>
    <x v="42"/>
  </r>
  <r>
    <x v="46"/>
    <x v="3"/>
    <x v="10"/>
    <x v="46"/>
    <x v="43"/>
  </r>
  <r>
    <x v="47"/>
    <x v="3"/>
    <x v="11"/>
    <x v="47"/>
    <x v="44"/>
  </r>
  <r>
    <x v="48"/>
    <x v="4"/>
    <x v="0"/>
    <x v="48"/>
    <x v="39"/>
  </r>
  <r>
    <x v="49"/>
    <x v="4"/>
    <x v="1"/>
    <x v="49"/>
    <x v="45"/>
  </r>
  <r>
    <x v="50"/>
    <x v="4"/>
    <x v="2"/>
    <x v="50"/>
    <x v="46"/>
  </r>
  <r>
    <x v="51"/>
    <x v="4"/>
    <x v="3"/>
    <x v="51"/>
    <x v="47"/>
  </r>
  <r>
    <x v="52"/>
    <x v="4"/>
    <x v="4"/>
    <x v="52"/>
    <x v="48"/>
  </r>
  <r>
    <x v="53"/>
    <x v="4"/>
    <x v="5"/>
    <x v="53"/>
    <x v="49"/>
  </r>
  <r>
    <x v="54"/>
    <x v="4"/>
    <x v="6"/>
    <x v="54"/>
    <x v="14"/>
  </r>
  <r>
    <x v="55"/>
    <x v="4"/>
    <x v="7"/>
    <x v="55"/>
    <x v="50"/>
  </r>
  <r>
    <x v="56"/>
    <x v="4"/>
    <x v="8"/>
    <x v="56"/>
    <x v="51"/>
  </r>
  <r>
    <x v="57"/>
    <x v="4"/>
    <x v="9"/>
    <x v="57"/>
    <x v="52"/>
  </r>
  <r>
    <x v="58"/>
    <x v="4"/>
    <x v="10"/>
    <x v="58"/>
    <x v="53"/>
  </r>
  <r>
    <x v="59"/>
    <x v="4"/>
    <x v="11"/>
    <x v="59"/>
    <x v="54"/>
  </r>
  <r>
    <x v="60"/>
    <x v="5"/>
    <x v="0"/>
    <x v="60"/>
    <x v="55"/>
  </r>
  <r>
    <x v="61"/>
    <x v="5"/>
    <x v="1"/>
    <x v="61"/>
    <x v="56"/>
  </r>
  <r>
    <x v="62"/>
    <x v="5"/>
    <x v="2"/>
    <x v="62"/>
    <x v="57"/>
  </r>
  <r>
    <x v="63"/>
    <x v="5"/>
    <x v="3"/>
    <x v="63"/>
    <x v="58"/>
  </r>
  <r>
    <x v="64"/>
    <x v="5"/>
    <x v="4"/>
    <x v="64"/>
    <x v="59"/>
  </r>
  <r>
    <x v="65"/>
    <x v="5"/>
    <x v="5"/>
    <x v="65"/>
    <x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5">
    <pivotField compact="0" numFmtId="17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dataField="1"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Inflation Rate (%)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workbookViewId="0">
      <selection activeCell="D20" sqref="A1:E67"/>
    </sheetView>
  </sheetViews>
  <sheetFormatPr defaultColWidth="9.14285714285714" defaultRowHeight="15" outlineLevelCol="4"/>
  <cols>
    <col min="1" max="1" width="17.1428571428571" customWidth="1"/>
    <col min="2" max="2" width="14.2857142857143" customWidth="1"/>
    <col min="3" max="3" width="16.1428571428571" customWidth="1"/>
    <col min="4" max="4" width="20.5714285714286" customWidth="1"/>
    <col min="5" max="5" width="21" style="144" customWidth="1"/>
  </cols>
  <sheetData>
    <row r="1" ht="29" customHeight="1" spans="1:5">
      <c r="A1" s="145" t="s">
        <v>0</v>
      </c>
      <c r="B1" s="146" t="s">
        <v>1</v>
      </c>
      <c r="C1" s="145" t="s">
        <v>2</v>
      </c>
      <c r="D1" s="145" t="s">
        <v>3</v>
      </c>
      <c r="E1" s="147" t="s">
        <v>4</v>
      </c>
    </row>
    <row r="2" ht="15.75" spans="1:5">
      <c r="A2" s="148">
        <v>46042</v>
      </c>
      <c r="B2">
        <v>2020</v>
      </c>
      <c r="C2" t="s">
        <v>5</v>
      </c>
      <c r="D2" s="149">
        <v>154.397586</v>
      </c>
      <c r="E2" s="150">
        <v>14.6</v>
      </c>
    </row>
    <row r="3" ht="15.75" spans="1:5">
      <c r="A3" s="148">
        <v>46073</v>
      </c>
      <c r="B3">
        <v>2020</v>
      </c>
      <c r="C3" t="s">
        <v>6</v>
      </c>
      <c r="D3" s="149">
        <v>154.133276</v>
      </c>
      <c r="E3" s="150">
        <v>12.4</v>
      </c>
    </row>
    <row r="4" ht="15.75" spans="1:5">
      <c r="A4" s="148">
        <v>46101</v>
      </c>
      <c r="B4">
        <v>2020</v>
      </c>
      <c r="C4" t="s">
        <v>7</v>
      </c>
      <c r="D4" s="149">
        <v>165.923103</v>
      </c>
      <c r="E4" s="150">
        <v>10.2</v>
      </c>
    </row>
    <row r="5" ht="15.75" spans="1:5">
      <c r="A5" s="148">
        <v>46132</v>
      </c>
      <c r="B5">
        <v>2020</v>
      </c>
      <c r="C5" t="s">
        <v>8</v>
      </c>
      <c r="D5" s="149">
        <v>160.842414</v>
      </c>
      <c r="E5" s="150">
        <v>8.5</v>
      </c>
    </row>
    <row r="6" ht="15.75" spans="1:5">
      <c r="A6" s="148">
        <v>46162</v>
      </c>
      <c r="B6">
        <v>2020</v>
      </c>
      <c r="C6" t="s">
        <v>9</v>
      </c>
      <c r="D6" s="149">
        <v>162.283571</v>
      </c>
      <c r="E6" s="150">
        <v>8.2</v>
      </c>
    </row>
    <row r="7" ht="15.75" spans="1:5">
      <c r="A7" s="148">
        <v>46193</v>
      </c>
      <c r="B7">
        <v>2020</v>
      </c>
      <c r="C7" t="s">
        <v>10</v>
      </c>
      <c r="D7" s="149">
        <v>167.732439</v>
      </c>
      <c r="E7" s="150">
        <v>8.6</v>
      </c>
    </row>
    <row r="8" ht="15.75" spans="1:5">
      <c r="A8" s="148">
        <v>46223</v>
      </c>
      <c r="B8">
        <v>2020</v>
      </c>
      <c r="C8" t="s">
        <v>11</v>
      </c>
      <c r="D8" s="149">
        <v>166.910345</v>
      </c>
      <c r="E8" s="150">
        <v>9.3</v>
      </c>
    </row>
    <row r="9" ht="15.75" spans="1:5">
      <c r="A9" s="148">
        <v>46254</v>
      </c>
      <c r="B9">
        <v>2020</v>
      </c>
      <c r="C9" t="s">
        <v>12</v>
      </c>
      <c r="D9" s="149">
        <v>166.386552</v>
      </c>
      <c r="E9" s="150">
        <v>8.2</v>
      </c>
    </row>
    <row r="10" ht="15.75" spans="1:5">
      <c r="A10" s="148">
        <v>46285</v>
      </c>
      <c r="B10">
        <v>2020</v>
      </c>
      <c r="C10" t="s">
        <v>13</v>
      </c>
      <c r="D10" s="149">
        <v>165.632759</v>
      </c>
      <c r="E10" s="150">
        <v>9</v>
      </c>
    </row>
    <row r="11" ht="15.75" spans="1:5">
      <c r="A11" s="148">
        <v>46315</v>
      </c>
      <c r="B11">
        <v>2020</v>
      </c>
      <c r="C11" t="s">
        <v>14</v>
      </c>
      <c r="D11" s="149">
        <v>160.250345</v>
      </c>
      <c r="E11" s="150">
        <v>8.9</v>
      </c>
    </row>
    <row r="12" ht="15.75" spans="1:5">
      <c r="A12" s="148">
        <v>46346</v>
      </c>
      <c r="B12">
        <v>2020</v>
      </c>
      <c r="C12" t="s">
        <v>15</v>
      </c>
      <c r="D12" s="149">
        <v>159.196897</v>
      </c>
      <c r="E12" s="150">
        <v>8.3</v>
      </c>
    </row>
    <row r="13" ht="15.75" spans="1:5">
      <c r="A13" s="148">
        <v>46376</v>
      </c>
      <c r="B13">
        <v>2020</v>
      </c>
      <c r="C13" t="s">
        <v>16</v>
      </c>
      <c r="D13" s="149">
        <v>159.770345</v>
      </c>
      <c r="E13" s="150">
        <v>8</v>
      </c>
    </row>
    <row r="14" ht="15.75" spans="1:5">
      <c r="A14" s="148">
        <v>46043</v>
      </c>
      <c r="B14">
        <v>2021</v>
      </c>
      <c r="C14" t="s">
        <v>5</v>
      </c>
      <c r="D14" s="149">
        <v>160.012069</v>
      </c>
      <c r="E14" s="150">
        <v>5.7</v>
      </c>
    </row>
    <row r="15" ht="15.75" spans="1:5">
      <c r="A15" s="148">
        <v>46074</v>
      </c>
      <c r="B15">
        <v>2021</v>
      </c>
      <c r="C15" t="s">
        <v>6</v>
      </c>
      <c r="D15" s="149">
        <v>158.062069</v>
      </c>
      <c r="E15" s="150">
        <v>8.7</v>
      </c>
    </row>
    <row r="16" ht="15.75" spans="1:5">
      <c r="A16" s="148">
        <v>46102</v>
      </c>
      <c r="B16">
        <v>2021</v>
      </c>
      <c r="C16" t="s">
        <v>7</v>
      </c>
      <c r="D16" s="149">
        <v>152.538621</v>
      </c>
      <c r="E16" s="150">
        <v>9.1</v>
      </c>
    </row>
    <row r="17" ht="15.75" spans="1:5">
      <c r="A17" s="148">
        <v>46133</v>
      </c>
      <c r="B17">
        <v>2021</v>
      </c>
      <c r="C17" t="s">
        <v>8</v>
      </c>
      <c r="D17" s="149">
        <v>153.46931</v>
      </c>
      <c r="E17" s="150">
        <v>11.1</v>
      </c>
    </row>
    <row r="18" ht="15.75" spans="1:5">
      <c r="A18" s="148">
        <v>46163</v>
      </c>
      <c r="B18">
        <v>2021</v>
      </c>
      <c r="C18" t="s">
        <v>9</v>
      </c>
      <c r="D18" s="149">
        <v>154.168621</v>
      </c>
      <c r="E18" s="150">
        <v>10.9</v>
      </c>
    </row>
    <row r="19" ht="15.75" spans="1:5">
      <c r="A19" s="148">
        <v>46194</v>
      </c>
      <c r="B19">
        <v>2021</v>
      </c>
      <c r="C19" t="s">
        <v>10</v>
      </c>
      <c r="D19" s="149">
        <v>157.31931</v>
      </c>
      <c r="E19" s="150">
        <v>9.7</v>
      </c>
    </row>
    <row r="20" ht="15.75" spans="1:5">
      <c r="A20" s="148">
        <v>46224</v>
      </c>
      <c r="B20">
        <v>2021</v>
      </c>
      <c r="C20" t="s">
        <v>11</v>
      </c>
      <c r="D20" s="149">
        <v>161.628276</v>
      </c>
      <c r="E20" s="150">
        <v>8.4</v>
      </c>
    </row>
    <row r="21" ht="15.75" spans="1:5">
      <c r="A21" s="148">
        <v>46255</v>
      </c>
      <c r="B21">
        <v>2021</v>
      </c>
      <c r="C21" t="s">
        <v>12</v>
      </c>
      <c r="D21" s="149">
        <v>165.826207</v>
      </c>
      <c r="E21" s="150">
        <v>8.4</v>
      </c>
    </row>
    <row r="22" ht="15.75" spans="1:5">
      <c r="A22" s="148">
        <v>46286</v>
      </c>
      <c r="B22">
        <v>2021</v>
      </c>
      <c r="C22" t="s">
        <v>13</v>
      </c>
      <c r="D22" s="149">
        <v>170.311724</v>
      </c>
      <c r="E22" s="150">
        <v>9</v>
      </c>
    </row>
    <row r="23" ht="15.75" spans="1:5">
      <c r="A23" s="148">
        <v>46316</v>
      </c>
      <c r="B23">
        <v>2021</v>
      </c>
      <c r="C23" t="s">
        <v>14</v>
      </c>
      <c r="D23" s="149">
        <v>171.640345</v>
      </c>
      <c r="E23" s="150">
        <v>9.2</v>
      </c>
    </row>
    <row r="24" ht="15.75" spans="1:5">
      <c r="A24" s="148">
        <v>46347</v>
      </c>
      <c r="B24">
        <v>2021</v>
      </c>
      <c r="C24" t="s">
        <v>15</v>
      </c>
      <c r="D24" s="149">
        <v>175.75931</v>
      </c>
      <c r="E24" s="150">
        <v>11.5</v>
      </c>
    </row>
    <row r="25" ht="15.75" spans="1:5">
      <c r="A25" s="148">
        <v>46377</v>
      </c>
      <c r="B25">
        <v>2021</v>
      </c>
      <c r="C25" t="s">
        <v>16</v>
      </c>
      <c r="D25" s="149">
        <v>176.537241</v>
      </c>
      <c r="E25" s="150">
        <v>12.3</v>
      </c>
    </row>
    <row r="26" ht="15.75" spans="1:5">
      <c r="A26" s="148">
        <v>46044</v>
      </c>
      <c r="B26">
        <v>2022</v>
      </c>
      <c r="C26" t="s">
        <v>5</v>
      </c>
      <c r="D26" s="149">
        <v>176.565517</v>
      </c>
      <c r="E26" s="150">
        <v>13</v>
      </c>
    </row>
    <row r="27" ht="15.75" spans="1:5">
      <c r="A27" s="148">
        <v>46075</v>
      </c>
      <c r="B27">
        <v>2022</v>
      </c>
      <c r="C27" t="s">
        <v>6</v>
      </c>
      <c r="D27" s="149">
        <v>177.05431</v>
      </c>
      <c r="E27" s="150">
        <v>12.2</v>
      </c>
    </row>
    <row r="28" ht="15.75" spans="1:5">
      <c r="A28" s="148">
        <v>46103</v>
      </c>
      <c r="B28">
        <v>2022</v>
      </c>
      <c r="C28" t="s">
        <v>7</v>
      </c>
      <c r="D28" s="149">
        <v>182.923276</v>
      </c>
      <c r="E28" s="150">
        <v>12.7</v>
      </c>
    </row>
    <row r="29" ht="15.75" spans="1:5">
      <c r="A29" s="148">
        <v>46134</v>
      </c>
      <c r="B29">
        <v>2022</v>
      </c>
      <c r="C29" t="s">
        <v>8</v>
      </c>
      <c r="D29" s="149">
        <v>185.472586</v>
      </c>
      <c r="E29" s="150">
        <v>13.4</v>
      </c>
    </row>
    <row r="30" ht="15.75" spans="1:5">
      <c r="A30" s="148">
        <v>46164</v>
      </c>
      <c r="B30">
        <v>2022</v>
      </c>
      <c r="C30" t="s">
        <v>9</v>
      </c>
      <c r="D30" s="149">
        <v>198.849138</v>
      </c>
      <c r="E30" s="150">
        <v>13.8</v>
      </c>
    </row>
    <row r="31" ht="15.75" spans="1:5">
      <c r="A31" s="148">
        <v>46195</v>
      </c>
      <c r="B31">
        <v>2022</v>
      </c>
      <c r="C31" t="s">
        <v>10</v>
      </c>
      <c r="D31" s="149">
        <v>204.624828</v>
      </c>
      <c r="E31" s="150">
        <v>21.3</v>
      </c>
    </row>
    <row r="32" ht="15.75" spans="1:5">
      <c r="A32" s="148">
        <v>46225</v>
      </c>
      <c r="B32">
        <v>2022</v>
      </c>
      <c r="C32" t="s">
        <v>11</v>
      </c>
      <c r="D32" s="149">
        <v>239.941379</v>
      </c>
      <c r="E32" s="150">
        <v>24.9</v>
      </c>
    </row>
    <row r="33" ht="15.75" spans="1:5">
      <c r="A33" s="148">
        <v>46256</v>
      </c>
      <c r="B33">
        <v>2022</v>
      </c>
      <c r="C33" t="s">
        <v>12</v>
      </c>
      <c r="D33" s="149">
        <v>218.964828</v>
      </c>
      <c r="E33" s="150">
        <v>27.3</v>
      </c>
    </row>
    <row r="34" ht="15.75" spans="1:5">
      <c r="A34" s="148">
        <v>46287</v>
      </c>
      <c r="B34">
        <v>2022</v>
      </c>
      <c r="C34" t="s">
        <v>13</v>
      </c>
      <c r="D34" s="149">
        <v>228.3798276</v>
      </c>
      <c r="E34" s="150">
        <v>23.2</v>
      </c>
    </row>
    <row r="35" ht="15.75" spans="1:5">
      <c r="A35" s="148">
        <v>46317</v>
      </c>
      <c r="B35">
        <v>2022</v>
      </c>
      <c r="C35" t="s">
        <v>14</v>
      </c>
      <c r="D35" s="149">
        <v>221.212931</v>
      </c>
      <c r="E35" s="150">
        <v>26.6</v>
      </c>
    </row>
    <row r="36" ht="15.75" spans="1:5">
      <c r="A36" s="148">
        <v>46348</v>
      </c>
      <c r="B36">
        <v>2022</v>
      </c>
      <c r="C36" t="s">
        <v>15</v>
      </c>
      <c r="D36" s="149">
        <v>223.6862069</v>
      </c>
      <c r="E36" s="150">
        <v>23.8</v>
      </c>
    </row>
    <row r="37" ht="15.75" spans="1:5">
      <c r="A37" s="148">
        <v>46378</v>
      </c>
      <c r="B37">
        <v>2022</v>
      </c>
      <c r="C37" t="s">
        <v>16</v>
      </c>
      <c r="D37" s="149">
        <v>226.3</v>
      </c>
      <c r="E37" s="150">
        <v>24.5</v>
      </c>
    </row>
    <row r="38" ht="15.75" spans="1:5">
      <c r="A38" s="148">
        <v>46045</v>
      </c>
      <c r="B38">
        <v>2023</v>
      </c>
      <c r="C38" t="s">
        <v>5</v>
      </c>
      <c r="D38" s="149">
        <v>267.9036207</v>
      </c>
      <c r="E38" s="150">
        <v>27.6</v>
      </c>
    </row>
    <row r="39" ht="15.75" spans="1:5">
      <c r="A39" s="148">
        <v>46076</v>
      </c>
      <c r="B39">
        <v>2023</v>
      </c>
      <c r="C39" t="s">
        <v>6</v>
      </c>
      <c r="D39" s="149">
        <v>260.5617241</v>
      </c>
      <c r="E39" s="150">
        <v>31.5</v>
      </c>
    </row>
    <row r="40" ht="15.75" spans="1:5">
      <c r="A40" s="148">
        <v>46104</v>
      </c>
      <c r="B40">
        <v>2023</v>
      </c>
      <c r="C40" t="s">
        <v>7</v>
      </c>
      <c r="D40" s="149">
        <v>283.5837931</v>
      </c>
      <c r="E40" s="150">
        <v>35.4</v>
      </c>
    </row>
    <row r="41" ht="15.75" spans="1:5">
      <c r="A41" s="148">
        <v>46135</v>
      </c>
      <c r="B41">
        <v>2023</v>
      </c>
      <c r="C41" t="s">
        <v>8</v>
      </c>
      <c r="D41" s="149">
        <v>283.5665517</v>
      </c>
      <c r="E41" s="150">
        <v>36.4</v>
      </c>
    </row>
    <row r="42" ht="15.75" spans="1:5">
      <c r="A42" s="148">
        <v>46165</v>
      </c>
      <c r="B42">
        <v>2023</v>
      </c>
      <c r="C42" t="s">
        <v>9</v>
      </c>
      <c r="D42" s="149">
        <v>285.2310345</v>
      </c>
      <c r="E42" s="150">
        <v>38</v>
      </c>
    </row>
    <row r="43" ht="15.75" spans="1:5">
      <c r="A43" s="148">
        <v>46196</v>
      </c>
      <c r="B43">
        <v>2023</v>
      </c>
      <c r="C43" t="s">
        <v>10</v>
      </c>
      <c r="D43" s="149">
        <v>286.137931</v>
      </c>
      <c r="E43" s="150">
        <v>29.4</v>
      </c>
    </row>
    <row r="44" ht="15.75" spans="1:5">
      <c r="A44" s="148">
        <v>46226</v>
      </c>
      <c r="B44">
        <v>2023</v>
      </c>
      <c r="C44" t="s">
        <v>11</v>
      </c>
      <c r="D44" s="149">
        <v>286.3289655</v>
      </c>
      <c r="E44" s="150">
        <v>28.3</v>
      </c>
    </row>
    <row r="45" ht="15.75" spans="1:5">
      <c r="A45" s="148">
        <v>46257</v>
      </c>
      <c r="B45">
        <v>2023</v>
      </c>
      <c r="C45" t="s">
        <v>12</v>
      </c>
      <c r="D45" s="149">
        <v>304.8468966</v>
      </c>
      <c r="E45" s="150">
        <v>27.4</v>
      </c>
    </row>
    <row r="46" ht="15.75" spans="1:5">
      <c r="A46" s="148">
        <v>46288</v>
      </c>
      <c r="B46">
        <v>2023</v>
      </c>
      <c r="C46" t="s">
        <v>13</v>
      </c>
      <c r="D46" s="149">
        <v>287.8848276</v>
      </c>
      <c r="E46" s="150">
        <v>31.4</v>
      </c>
    </row>
    <row r="47" ht="15.75" spans="1:5">
      <c r="A47" s="148">
        <v>46318</v>
      </c>
      <c r="B47">
        <v>2023</v>
      </c>
      <c r="C47" t="s">
        <v>14</v>
      </c>
      <c r="D47" s="149">
        <v>280.8482759</v>
      </c>
      <c r="E47" s="150">
        <v>26.9</v>
      </c>
    </row>
    <row r="48" ht="15.75" spans="1:5">
      <c r="A48" s="148">
        <v>46349</v>
      </c>
      <c r="B48">
        <v>2023</v>
      </c>
      <c r="C48" t="s">
        <v>15</v>
      </c>
      <c r="D48" s="149">
        <v>285.0310345</v>
      </c>
      <c r="E48" s="150">
        <v>29.2</v>
      </c>
    </row>
    <row r="49" ht="15.75" spans="1:5">
      <c r="A49" s="148">
        <v>46379</v>
      </c>
      <c r="B49">
        <v>2023</v>
      </c>
      <c r="C49" t="s">
        <v>16</v>
      </c>
      <c r="D49" s="149">
        <v>281.7521034</v>
      </c>
      <c r="E49" s="150">
        <v>29.7</v>
      </c>
    </row>
    <row r="50" ht="15.75" spans="1:5">
      <c r="A50" s="148">
        <v>46046</v>
      </c>
      <c r="B50">
        <v>2024</v>
      </c>
      <c r="C50" t="s">
        <v>5</v>
      </c>
      <c r="D50" s="149">
        <v>279.3289655</v>
      </c>
      <c r="E50" s="150">
        <v>28.3</v>
      </c>
    </row>
    <row r="51" ht="15.75" spans="1:5">
      <c r="A51" s="148">
        <v>46077</v>
      </c>
      <c r="B51">
        <v>2024</v>
      </c>
      <c r="C51" t="s">
        <v>6</v>
      </c>
      <c r="D51" s="149">
        <v>278.9565517</v>
      </c>
      <c r="E51" s="150">
        <v>23.1</v>
      </c>
    </row>
    <row r="52" ht="15.75" spans="1:5">
      <c r="A52" s="148">
        <v>46105</v>
      </c>
      <c r="B52">
        <v>2024</v>
      </c>
      <c r="C52" t="s">
        <v>7</v>
      </c>
      <c r="D52" s="149">
        <v>277.987931</v>
      </c>
      <c r="E52" s="150">
        <v>20.7</v>
      </c>
    </row>
    <row r="53" ht="15.75" spans="1:5">
      <c r="A53" s="148">
        <v>46136</v>
      </c>
      <c r="B53">
        <v>2024</v>
      </c>
      <c r="C53" t="s">
        <v>8</v>
      </c>
      <c r="D53" s="149">
        <v>278.3341379</v>
      </c>
      <c r="E53" s="150">
        <v>17.3</v>
      </c>
    </row>
    <row r="54" ht="15.75" spans="1:5">
      <c r="A54" s="148">
        <v>46166</v>
      </c>
      <c r="B54">
        <v>2024</v>
      </c>
      <c r="C54" t="s">
        <v>9</v>
      </c>
      <c r="D54" s="149">
        <v>278.4</v>
      </c>
      <c r="E54" s="150">
        <v>11.8</v>
      </c>
    </row>
    <row r="55" ht="15.75" spans="1:5">
      <c r="A55" s="148">
        <v>46197</v>
      </c>
      <c r="B55">
        <v>2024</v>
      </c>
      <c r="C55" t="s">
        <v>10</v>
      </c>
      <c r="D55" s="149">
        <v>278.3327586</v>
      </c>
      <c r="E55" s="150">
        <v>12.6</v>
      </c>
    </row>
    <row r="56" ht="15.75" spans="1:5">
      <c r="A56" s="148">
        <v>46227</v>
      </c>
      <c r="B56">
        <v>2024</v>
      </c>
      <c r="C56" t="s">
        <v>11</v>
      </c>
      <c r="D56" s="149">
        <v>278.5913793</v>
      </c>
      <c r="E56" s="150">
        <v>11.1</v>
      </c>
    </row>
    <row r="57" ht="15.75" spans="1:5">
      <c r="A57" s="148">
        <v>46258</v>
      </c>
      <c r="B57">
        <v>2024</v>
      </c>
      <c r="C57" t="s">
        <v>12</v>
      </c>
      <c r="D57" s="149">
        <v>278.5362069</v>
      </c>
      <c r="E57" s="150">
        <v>9.6</v>
      </c>
    </row>
    <row r="58" ht="15.75" spans="1:5">
      <c r="A58" s="148">
        <v>46289</v>
      </c>
      <c r="B58">
        <v>2024</v>
      </c>
      <c r="C58" t="s">
        <v>13</v>
      </c>
      <c r="D58" s="149">
        <v>277.6517241</v>
      </c>
      <c r="E58" s="150">
        <v>6.9</v>
      </c>
    </row>
    <row r="59" ht="15.75" spans="1:5">
      <c r="A59" s="148">
        <v>46319</v>
      </c>
      <c r="B59">
        <v>2024</v>
      </c>
      <c r="C59" t="s">
        <v>14</v>
      </c>
      <c r="D59" s="149">
        <v>277.7931034</v>
      </c>
      <c r="E59" s="150">
        <v>7.2</v>
      </c>
    </row>
    <row r="60" ht="15.75" spans="1:5">
      <c r="A60" s="148">
        <v>46350</v>
      </c>
      <c r="B60">
        <v>2024</v>
      </c>
      <c r="C60" t="s">
        <v>15</v>
      </c>
      <c r="D60" s="149">
        <v>277.9293103</v>
      </c>
      <c r="E60" s="150">
        <v>4.9</v>
      </c>
    </row>
    <row r="61" ht="15.75" spans="1:5">
      <c r="A61" s="148">
        <v>46380</v>
      </c>
      <c r="B61">
        <v>2024</v>
      </c>
      <c r="C61" t="s">
        <v>16</v>
      </c>
      <c r="D61" s="149">
        <v>278.4431034</v>
      </c>
      <c r="E61" s="150">
        <v>4.1</v>
      </c>
    </row>
    <row r="62" ht="15.75" spans="1:5">
      <c r="A62" s="148">
        <v>46047</v>
      </c>
      <c r="B62">
        <v>2025</v>
      </c>
      <c r="C62" t="s">
        <v>5</v>
      </c>
      <c r="D62" s="149">
        <v>278.8403448</v>
      </c>
      <c r="E62" s="150">
        <v>3.8</v>
      </c>
    </row>
    <row r="63" ht="15.75" spans="1:5">
      <c r="A63" s="148">
        <v>46078</v>
      </c>
      <c r="B63">
        <v>2025</v>
      </c>
      <c r="C63" t="s">
        <v>6</v>
      </c>
      <c r="D63" s="149">
        <v>279.662069</v>
      </c>
      <c r="E63" s="150">
        <v>4</v>
      </c>
    </row>
    <row r="64" ht="15.75" spans="1:5">
      <c r="A64" s="148">
        <v>46106</v>
      </c>
      <c r="B64">
        <v>2025</v>
      </c>
      <c r="C64" t="s">
        <v>7</v>
      </c>
      <c r="D64" s="149">
        <v>280.1931034</v>
      </c>
      <c r="E64" s="150">
        <v>4.2</v>
      </c>
    </row>
    <row r="65" ht="15.75" spans="1:5">
      <c r="A65" s="148">
        <v>46137</v>
      </c>
      <c r="B65">
        <v>2025</v>
      </c>
      <c r="C65" t="s">
        <v>8</v>
      </c>
      <c r="D65" s="149">
        <v>280.9965517</v>
      </c>
      <c r="E65" s="150">
        <v>4.5</v>
      </c>
    </row>
    <row r="66" ht="15.75" spans="1:5">
      <c r="A66" s="148">
        <v>46167</v>
      </c>
      <c r="B66">
        <v>2025</v>
      </c>
      <c r="C66" t="s">
        <v>9</v>
      </c>
      <c r="D66" s="149">
        <v>282.0137931</v>
      </c>
      <c r="E66" s="150">
        <v>3.5</v>
      </c>
    </row>
    <row r="67" ht="15.75" spans="1:5">
      <c r="A67" s="148">
        <v>46198</v>
      </c>
      <c r="B67">
        <v>2025</v>
      </c>
      <c r="C67" t="s">
        <v>10</v>
      </c>
      <c r="D67" s="149">
        <v>283.7285714</v>
      </c>
      <c r="E67" s="150">
        <v>3.2</v>
      </c>
    </row>
    <row r="68" ht="15.75" spans="1:5">
      <c r="A68" s="151"/>
      <c r="D68" s="149"/>
      <c r="E68" s="150"/>
    </row>
    <row r="69" ht="15.75" spans="1:5">
      <c r="E69" s="150"/>
    </row>
    <row r="70" spans="1:5">
      <c r="E70" s="150"/>
    </row>
    <row r="71" spans="1:5">
      <c r="E71" s="150"/>
    </row>
    <row r="72" spans="1:5">
      <c r="E72" s="15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"/>
  <sheetViews>
    <sheetView showGridLines="0" zoomScale="30" zoomScaleNormal="30" workbookViewId="0">
      <selection activeCell="AW20" sqref="AW20"/>
    </sheetView>
  </sheetViews>
  <sheetFormatPr defaultColWidth="9.14285714285714" defaultRowHeight="15"/>
  <cols>
    <col min="1" max="2" width="23.9904761904762" customWidth="1"/>
    <col min="3" max="3" width="16.5714285714286" customWidth="1"/>
    <col min="4" max="4" width="17.8571428571429" customWidth="1"/>
    <col min="5" max="5" width="19.1047619047619" customWidth="1"/>
    <col min="6" max="6" width="15.5333333333333" customWidth="1"/>
    <col min="7" max="7" width="17.4952380952381" customWidth="1"/>
    <col min="8" max="8" width="14.2857142857143" customWidth="1"/>
    <col min="9" max="9" width="17.5047619047619" customWidth="1"/>
    <col min="11" max="11" width="17.3238095238095" customWidth="1"/>
    <col min="12" max="12" width="14.9904761904762" customWidth="1"/>
    <col min="13" max="13" width="18.3904761904762" customWidth="1"/>
    <col min="14" max="14" width="20.5333333333333" customWidth="1"/>
    <col min="15" max="15" width="13.5714285714286" customWidth="1"/>
    <col min="16" max="16" width="22.1428571428571" customWidth="1"/>
    <col min="17" max="17" width="18.3904761904762" customWidth="1"/>
    <col min="18" max="18" width="16.9619047619048" customWidth="1"/>
    <col min="19" max="19" width="14.4571428571429" customWidth="1"/>
    <col min="21" max="21" width="16.4285714285714" customWidth="1"/>
  </cols>
  <sheetData>
    <row r="1" ht="46" customHeight="1" spans="1:21">
      <c r="A1" s="22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ht="24" customHeight="1" spans="1:21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ht="41" customHeight="1" spans="1:21">
      <c r="A3" s="25" t="s">
        <v>18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ht="78" customHeight="1" spans="1:21">
      <c r="A4" s="27" t="s">
        <v>19</v>
      </c>
      <c r="B4" s="28"/>
      <c r="C4" s="28"/>
      <c r="D4" s="28"/>
      <c r="E4" s="28"/>
      <c r="F4" s="28"/>
      <c r="G4" s="28"/>
      <c r="H4" s="28"/>
      <c r="I4" s="29"/>
      <c r="J4" s="27" t="s">
        <v>20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</row>
    <row r="5" ht="16" customHeight="1" spans="1:21">
      <c r="A5" s="32"/>
      <c r="B5" s="33"/>
    </row>
    <row r="6" spans="1:21">
      <c r="A6" s="34" t="s">
        <v>21</v>
      </c>
      <c r="B6" s="35"/>
      <c r="C6" s="36"/>
      <c r="D6" s="34" t="s">
        <v>22</v>
      </c>
      <c r="E6" s="35"/>
      <c r="F6" s="36"/>
      <c r="G6" s="34" t="s">
        <v>23</v>
      </c>
      <c r="H6" s="35"/>
      <c r="I6" s="36"/>
      <c r="J6" s="34" t="s">
        <v>24</v>
      </c>
      <c r="K6" s="35"/>
      <c r="L6" s="36"/>
      <c r="M6" s="34" t="s">
        <v>25</v>
      </c>
      <c r="N6" s="35"/>
      <c r="O6" s="36"/>
      <c r="P6" s="34" t="s">
        <v>26</v>
      </c>
      <c r="Q6" s="35"/>
      <c r="R6" s="36"/>
      <c r="S6" s="34" t="s">
        <v>27</v>
      </c>
      <c r="T6" s="37"/>
      <c r="U6" s="38"/>
    </row>
    <row r="7" ht="22" customHeight="1" spans="1:21">
      <c r="A7" s="39"/>
      <c r="B7" s="40"/>
      <c r="C7" s="41"/>
      <c r="D7" s="39"/>
      <c r="E7" s="40"/>
      <c r="F7" s="41"/>
      <c r="G7" s="39"/>
      <c r="H7" s="40"/>
      <c r="I7" s="41"/>
      <c r="J7" s="39"/>
      <c r="K7" s="40"/>
      <c r="L7" s="41"/>
      <c r="M7" s="39"/>
      <c r="N7" s="40"/>
      <c r="O7" s="41"/>
      <c r="P7" s="39"/>
      <c r="Q7" s="40"/>
      <c r="R7" s="41"/>
      <c r="S7" s="42"/>
      <c r="T7" s="43"/>
      <c r="U7" s="44"/>
    </row>
    <row r="8" ht="90" customHeight="1" spans="1:21">
      <c r="A8" s="45"/>
      <c r="B8" s="46"/>
      <c r="C8" s="47"/>
      <c r="D8" s="45"/>
      <c r="E8" s="46"/>
      <c r="F8" s="47"/>
      <c r="G8" s="45"/>
      <c r="H8" s="46"/>
      <c r="I8" s="47"/>
      <c r="J8" s="45"/>
      <c r="K8" s="46"/>
      <c r="L8" s="47"/>
      <c r="M8" s="45"/>
      <c r="N8" s="46"/>
      <c r="O8" s="47"/>
      <c r="P8" s="45"/>
      <c r="Q8" s="46"/>
      <c r="R8" s="47"/>
      <c r="S8" s="48"/>
      <c r="T8" s="49"/>
      <c r="U8" s="50"/>
    </row>
    <row r="9" spans="1:21">
      <c r="A9" s="32"/>
      <c r="B9" s="33"/>
    </row>
    <row r="10" ht="15.75" spans="1:21">
      <c r="A10" s="51"/>
      <c r="B10" s="52"/>
    </row>
    <row r="11" ht="32" customHeight="1" spans="1:21">
      <c r="A11" s="53"/>
      <c r="B11" s="54"/>
      <c r="C11" s="55"/>
    </row>
    <row r="12" ht="32" customHeight="1" spans="1:21">
      <c r="A12" s="56" t="s">
        <v>28</v>
      </c>
      <c r="B12" s="57" t="s">
        <v>29</v>
      </c>
      <c r="C12" s="55"/>
    </row>
    <row r="13" ht="15.75" spans="1:21">
      <c r="A13" s="32" t="s">
        <v>30</v>
      </c>
      <c r="B13" s="58">
        <f>AVERAGE(raw_data!D13:D78)</f>
        <v>236.734811629091</v>
      </c>
      <c r="C13" s="59"/>
    </row>
    <row r="14" spans="1:21">
      <c r="A14" s="32" t="s">
        <v>31</v>
      </c>
      <c r="B14" s="58">
        <f>MAX(raw_data!D13:D78)</f>
        <v>304.8468966</v>
      </c>
      <c r="C14" s="60"/>
    </row>
    <row r="15" spans="1:21">
      <c r="A15" s="32" t="s">
        <v>32</v>
      </c>
      <c r="B15" s="58">
        <f>MIN(raw_data!D13:D78)</f>
        <v>152.538621</v>
      </c>
      <c r="C15" s="60"/>
    </row>
    <row r="16" spans="1:21">
      <c r="A16" s="32" t="s">
        <v>33</v>
      </c>
      <c r="B16" s="58">
        <f>AVERAGE(raw_data!E13:E78)</f>
        <v>16.5581818181818</v>
      </c>
      <c r="C16" s="60"/>
    </row>
    <row r="17" spans="1:3">
      <c r="A17" s="32" t="s">
        <v>34</v>
      </c>
      <c r="B17" s="58">
        <f>MAX(raw_data!E13:E78)</f>
        <v>38</v>
      </c>
      <c r="C17" s="60"/>
    </row>
    <row r="18" spans="1:3">
      <c r="A18" s="32" t="s">
        <v>35</v>
      </c>
      <c r="B18" s="58">
        <f>MIN(raw_data!E13:E78)</f>
        <v>3.2</v>
      </c>
      <c r="C18" s="60"/>
    </row>
    <row r="19" ht="15.75" spans="1:3">
      <c r="A19" s="51" t="s">
        <v>36</v>
      </c>
      <c r="B19" s="61" cm="1">
        <f t="array" ref="B19">CORREL(raw_data!D13:D78,raw_data!E13:E78)</f>
        <v>0.349634122303721</v>
      </c>
      <c r="C19" s="62"/>
    </row>
    <row r="20" ht="15.75" spans="1:3">
      <c r="A20" s="63"/>
      <c r="B20" s="63"/>
      <c r="C20" s="63"/>
    </row>
    <row r="21" ht="11" customHeight="1" spans="1:3">
      <c r="A21" s="64"/>
      <c r="B21" s="65"/>
      <c r="C21" s="66"/>
    </row>
    <row r="22" ht="15.75" spans="1:3">
      <c r="A22" s="67"/>
      <c r="B22" s="68"/>
      <c r="C22" s="59"/>
    </row>
    <row r="23" spans="1:3">
      <c r="A23" s="69"/>
      <c r="B23" s="70"/>
      <c r="C23" s="71"/>
    </row>
    <row r="24" spans="1:3">
      <c r="A24" s="69"/>
      <c r="B24" s="70"/>
      <c r="C24" s="71"/>
    </row>
    <row r="25" spans="1:3">
      <c r="A25" s="69"/>
      <c r="B25" s="70"/>
      <c r="C25" s="71"/>
    </row>
    <row r="26" spans="1:3">
      <c r="A26" s="69"/>
      <c r="B26" s="70"/>
      <c r="C26" s="71"/>
    </row>
    <row r="27" spans="1:3">
      <c r="A27" s="69"/>
      <c r="B27" s="70"/>
      <c r="C27" s="71"/>
    </row>
    <row r="28" spans="1:3">
      <c r="A28" s="72"/>
      <c r="B28" s="73"/>
      <c r="C28" s="74"/>
    </row>
    <row r="29" ht="35" customHeight="1" spans="1:3">
      <c r="A29" s="75"/>
      <c r="B29" s="74"/>
    </row>
    <row r="30" ht="31" customHeight="1" spans="1:3">
      <c r="A30" s="64"/>
      <c r="B30" s="76"/>
    </row>
    <row r="31" spans="1:3">
      <c r="A31" s="77"/>
      <c r="B31" s="78"/>
    </row>
    <row r="32" spans="1:3">
      <c r="A32" s="79"/>
      <c r="B32" s="78"/>
    </row>
    <row r="33" spans="1:21">
      <c r="A33" s="79"/>
      <c r="B33" s="78"/>
    </row>
    <row r="34" spans="1:21">
      <c r="A34" s="79"/>
      <c r="B34" s="78"/>
    </row>
    <row r="35" spans="1:21">
      <c r="A35" s="79"/>
      <c r="B35" s="78"/>
    </row>
    <row r="36" spans="1:21">
      <c r="A36" s="79"/>
      <c r="B36" s="78"/>
    </row>
    <row r="37" spans="1:21">
      <c r="A37" s="80"/>
      <c r="B37" s="81"/>
    </row>
    <row r="38" ht="15.75" spans="1:21">
      <c r="A38" s="63"/>
      <c r="B38" s="63"/>
      <c r="K38" s="82"/>
      <c r="L38" s="82"/>
      <c r="M38" s="82"/>
    </row>
    <row r="39" ht="39" customHeight="1" spans="1:21">
      <c r="A39" s="83"/>
      <c r="B39" s="84"/>
      <c r="C39" s="85"/>
      <c r="E39" s="86" t="s">
        <v>37</v>
      </c>
      <c r="F39" s="87"/>
      <c r="G39" s="87"/>
      <c r="H39" s="87"/>
      <c r="I39" s="87"/>
      <c r="J39" s="87"/>
      <c r="K39" s="88"/>
      <c r="L39" s="88"/>
      <c r="M39" s="88"/>
      <c r="N39" s="87"/>
      <c r="O39" s="87"/>
      <c r="P39" s="89"/>
      <c r="Q39" s="1"/>
      <c r="T39" s="82"/>
    </row>
    <row r="40" ht="36" customHeight="1" spans="1:21">
      <c r="A40" s="90"/>
      <c r="B40" s="91"/>
      <c r="C40" s="92"/>
      <c r="E40" s="93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5"/>
      <c r="Q40" s="1"/>
      <c r="R40" s="96"/>
      <c r="S40" s="97"/>
      <c r="T40" s="98"/>
      <c r="U40" s="99"/>
    </row>
    <row r="41" ht="27" customHeight="1" spans="1:21">
      <c r="A41" s="100"/>
      <c r="B41" s="101"/>
      <c r="C41" s="102"/>
      <c r="E41" s="103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5"/>
      <c r="Q41" s="1"/>
      <c r="R41" s="106"/>
      <c r="S41" s="107"/>
      <c r="T41" s="107"/>
      <c r="U41" s="108"/>
    </row>
    <row r="42" ht="26" customHeight="1" spans="1:21">
      <c r="A42" s="100"/>
      <c r="B42" s="101"/>
      <c r="C42" s="109"/>
      <c r="E42" s="103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5"/>
      <c r="Q42" s="1"/>
      <c r="R42" s="106"/>
      <c r="S42" s="107"/>
      <c r="T42" s="107"/>
      <c r="U42" s="108"/>
    </row>
    <row r="43" ht="27" customHeight="1" spans="1:21">
      <c r="A43" s="100"/>
      <c r="B43" s="101"/>
      <c r="C43" s="109"/>
      <c r="E43" s="103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5"/>
      <c r="Q43" s="1"/>
      <c r="R43" s="106"/>
      <c r="S43" s="107"/>
      <c r="T43" s="107"/>
      <c r="U43" s="108"/>
    </row>
    <row r="44" ht="24" customHeight="1" spans="1:21">
      <c r="A44" s="100"/>
      <c r="B44" s="110"/>
      <c r="C44" s="111"/>
      <c r="E44" s="103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5"/>
      <c r="Q44" s="1"/>
      <c r="R44" s="112"/>
      <c r="S44" s="107"/>
      <c r="T44" s="107"/>
      <c r="U44" s="108"/>
    </row>
    <row r="45" ht="21" customHeight="1" spans="1:21">
      <c r="A45" s="100"/>
      <c r="B45" s="101"/>
      <c r="C45" s="113"/>
      <c r="E45" s="103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5"/>
      <c r="Q45" s="1"/>
      <c r="R45" s="106"/>
      <c r="S45" s="107"/>
      <c r="T45" s="107"/>
      <c r="U45" s="114"/>
    </row>
    <row r="46" ht="48" customHeight="1" spans="1:21">
      <c r="A46" s="115" t="s">
        <v>38</v>
      </c>
      <c r="B46" s="116"/>
      <c r="C46" s="117"/>
      <c r="E46" s="2" t="s">
        <v>39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1"/>
      <c r="R46" s="118" t="s">
        <v>40</v>
      </c>
      <c r="S46" s="14"/>
      <c r="T46" s="14"/>
      <c r="U46" s="15"/>
    </row>
    <row r="47" ht="62" customHeight="1" spans="1:21">
      <c r="A47" s="119" t="s">
        <v>1</v>
      </c>
      <c r="B47" s="120" t="s">
        <v>41</v>
      </c>
      <c r="C47" s="121" t="s">
        <v>42</v>
      </c>
      <c r="E47" s="122" t="s">
        <v>43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7"/>
      <c r="R47" s="16"/>
      <c r="S47" s="17"/>
      <c r="T47" s="17"/>
      <c r="U47" s="18"/>
    </row>
    <row r="48" ht="23.25" spans="1:21">
      <c r="A48" s="123">
        <v>2020</v>
      </c>
      <c r="B48" s="124">
        <f>AVERAGEIF(raw_data!B:B,A48,raw_data!D:D)</f>
        <v>161.954969333333</v>
      </c>
      <c r="C48" s="125">
        <f>AVERAGEIF(raw_data!B:B,A48,raw_data!E:E)</f>
        <v>9.51666666666667</v>
      </c>
      <c r="E48" s="8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R48" s="16"/>
      <c r="S48" s="17"/>
      <c r="T48" s="17"/>
      <c r="U48" s="18"/>
    </row>
    <row r="49" ht="23.25" spans="1:21">
      <c r="A49" s="123">
        <v>2021</v>
      </c>
      <c r="B49" s="124">
        <f>AVERAGEIF(raw_data!B:B,A49,raw_data!D:D)</f>
        <v>163.106091916667</v>
      </c>
      <c r="C49" s="126">
        <f>AVERAGEIF(raw_data!B:B,A49,raw_data!E:E)</f>
        <v>9.5</v>
      </c>
      <c r="E49" s="8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R49" s="16"/>
      <c r="S49" s="17"/>
      <c r="T49" s="17"/>
      <c r="U49" s="18"/>
    </row>
    <row r="50" ht="23.25" spans="1:21">
      <c r="A50" s="123">
        <v>2022</v>
      </c>
      <c r="B50" s="124">
        <f>AVERAGEIF(raw_data!B:B,A50,raw_data!D:D)</f>
        <v>206.997902291667</v>
      </c>
      <c r="C50" s="126">
        <f>AVERAGEIF(raw_data!B:B,A50,raw_data!E:E)</f>
        <v>19.725</v>
      </c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R50" s="16"/>
      <c r="S50" s="17"/>
      <c r="T50" s="17"/>
      <c r="U50" s="18"/>
    </row>
    <row r="51" ht="23.25" spans="1:21">
      <c r="A51" s="123">
        <v>2023</v>
      </c>
      <c r="B51" s="127">
        <f>AVERAGEIF(raw_data!B:B,A51,raw_data!D:D)</f>
        <v>282.80639655</v>
      </c>
      <c r="C51" s="128">
        <f>AVERAGEIF(raw_data!B:B,A51,raw_data!E:E)</f>
        <v>30.9333333333333</v>
      </c>
      <c r="E51" s="8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R51" s="16"/>
      <c r="S51" s="17"/>
      <c r="T51" s="17"/>
      <c r="U51" s="18"/>
    </row>
    <row r="52" ht="24" spans="1:21">
      <c r="A52" s="123">
        <v>2024</v>
      </c>
      <c r="B52" s="124">
        <f>AVERAGEIF(raw_data!B:B,A52,raw_data!D:D)</f>
        <v>278.357097675</v>
      </c>
      <c r="C52" s="125">
        <f>AVERAGEIF(raw_data!B:B,A52,raw_data!E:E)</f>
        <v>13.1333333333333</v>
      </c>
      <c r="E52" s="8"/>
      <c r="F52" s="1"/>
      <c r="G52" s="1"/>
      <c r="H52" s="1"/>
      <c r="I52" s="1"/>
      <c r="J52" s="1"/>
      <c r="K52" s="1"/>
      <c r="L52" s="1"/>
      <c r="M52" s="1"/>
      <c r="N52" s="1"/>
      <c r="O52" s="1"/>
      <c r="P52" s="9"/>
      <c r="R52" s="19"/>
      <c r="S52" s="20"/>
      <c r="T52" s="20"/>
      <c r="U52" s="21"/>
    </row>
    <row r="53" ht="24" spans="1:21">
      <c r="A53" s="129">
        <v>2025</v>
      </c>
      <c r="B53" s="130">
        <f>AVERAGEIF(raw_data!B:B,A53,raw_data!D:D)</f>
        <v>280.9057389</v>
      </c>
      <c r="C53" s="131">
        <f>AVERAGEIF(raw_data!B:B,A53,raw_data!E:E)</f>
        <v>3.86666666666667</v>
      </c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2"/>
      <c r="R53" s="132"/>
      <c r="S53" s="133"/>
      <c r="T53" s="133"/>
      <c r="U53" s="134"/>
    </row>
    <row r="54" ht="23.25" spans="1:21">
      <c r="E54" s="135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7"/>
      <c r="R54" s="132"/>
      <c r="S54" s="133"/>
      <c r="T54" s="133"/>
      <c r="U54" s="134"/>
    </row>
    <row r="55" spans="1:21">
      <c r="E55" s="135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7"/>
      <c r="R55" s="138"/>
      <c r="S55" s="139"/>
      <c r="T55" s="139"/>
      <c r="U55" s="140"/>
    </row>
    <row r="56" spans="1:21">
      <c r="E56" s="141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3"/>
    </row>
  </sheetData>
  <mergeCells count="20">
    <mergeCell ref="A3:U3"/>
    <mergeCell ref="A4:I4"/>
    <mergeCell ref="J4:U4"/>
    <mergeCell ref="A21:C21"/>
    <mergeCell ref="A30:B30"/>
    <mergeCell ref="A39:C39"/>
    <mergeCell ref="E39:P39"/>
    <mergeCell ref="A46:C46"/>
    <mergeCell ref="E46:P46"/>
    <mergeCell ref="A31:B37"/>
    <mergeCell ref="A6:C8"/>
    <mergeCell ref="D6:F8"/>
    <mergeCell ref="G6:I8"/>
    <mergeCell ref="J6:L8"/>
    <mergeCell ref="M6:O8"/>
    <mergeCell ref="P6:R8"/>
    <mergeCell ref="S6:U8"/>
    <mergeCell ref="A1:U2"/>
    <mergeCell ref="E47:P53"/>
    <mergeCell ref="R46:U52"/>
  </mergeCells>
  <pageMargins left="0.75" right="0.75" top="1" bottom="1" header="0.5" footer="0.5"/>
  <headerFooter/>
  <ignoredErrors>
    <ignoredError sqref="B1:C1 C2:C5 C9:C10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35"/>
  <sheetViews>
    <sheetView tabSelected="1" topLeftCell="B1" workbookViewId="0">
      <selection activeCell="N19" sqref="N19:Y25"/>
    </sheetView>
  </sheetViews>
  <sheetFormatPr defaultColWidth="9.14285714285714" defaultRowHeight="15"/>
  <cols>
    <col min="1" max="1" width="12.1428571428571"/>
    <col min="2" max="2" width="29.1428571428571"/>
  </cols>
  <sheetData>
    <row r="3" spans="1:16">
      <c r="A3" t="s">
        <v>1</v>
      </c>
      <c r="B3" t="s">
        <v>44</v>
      </c>
    </row>
    <row r="4" spans="1:16">
      <c r="A4">
        <v>2020</v>
      </c>
      <c r="B4">
        <v>9.51666666666667</v>
      </c>
    </row>
    <row r="5" spans="1:16">
      <c r="A5">
        <v>2021</v>
      </c>
      <c r="B5">
        <v>9.5</v>
      </c>
      <c r="C5"/>
      <c r="N5" s="1"/>
      <c r="O5" s="1"/>
      <c r="P5" s="1"/>
    </row>
    <row r="6" spans="1:16">
      <c r="A6">
        <v>2022</v>
      </c>
      <c r="B6">
        <v>19.725</v>
      </c>
      <c r="C6"/>
      <c r="N6" s="1"/>
      <c r="O6" s="1"/>
      <c r="P6" s="1"/>
    </row>
    <row r="7" spans="1:16">
      <c r="A7">
        <v>2023</v>
      </c>
      <c r="B7">
        <v>30.9333333333333</v>
      </c>
      <c r="C7"/>
      <c r="N7" s="1"/>
      <c r="O7" s="1"/>
      <c r="P7" s="1"/>
    </row>
    <row r="8" spans="1:16">
      <c r="A8">
        <v>2024</v>
      </c>
      <c r="B8">
        <v>13.1333333333333</v>
      </c>
      <c r="C8"/>
      <c r="N8" s="1"/>
      <c r="O8" s="1"/>
      <c r="P8" s="1"/>
    </row>
    <row r="9" spans="1:16">
      <c r="A9">
        <v>2025</v>
      </c>
      <c r="B9">
        <v>3.86666666666667</v>
      </c>
      <c r="C9"/>
      <c r="N9" s="1"/>
      <c r="O9" s="1"/>
      <c r="P9" s="1"/>
    </row>
    <row r="10" spans="1:16">
      <c r="A10" t="s">
        <v>45</v>
      </c>
      <c r="B10">
        <v>15.4075757575758</v>
      </c>
      <c r="C10"/>
      <c r="N10" s="1"/>
      <c r="O10" s="1"/>
      <c r="P10" s="1"/>
    </row>
    <row r="17" ht="15.75"/>
    <row r="18" ht="27" spans="14:25">
      <c r="N18" s="2" t="s">
        <v>39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</row>
    <row r="19" spans="14:25">
      <c r="N19" s="5" t="s">
        <v>43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</row>
    <row r="20" spans="14:25"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9"/>
    </row>
    <row r="21" spans="14:25"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9"/>
    </row>
    <row r="22" spans="14:25"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9"/>
    </row>
    <row r="23" spans="14:25"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9"/>
    </row>
    <row r="24" spans="14:25"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9"/>
    </row>
    <row r="25" ht="15.75" spans="14:25">
      <c r="N25" s="10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ht="39" customHeight="1"/>
    <row r="28" ht="15.75"/>
    <row r="29" spans="14:25">
      <c r="N29" s="13"/>
      <c r="O29" s="14"/>
      <c r="P29" s="14"/>
      <c r="Q29" s="15"/>
    </row>
    <row r="30" spans="14:25">
      <c r="N30" s="16"/>
      <c r="O30" s="17"/>
      <c r="P30" s="17"/>
      <c r="Q30" s="18"/>
    </row>
    <row r="31" spans="14:25">
      <c r="N31" s="16"/>
      <c r="O31" s="17"/>
      <c r="P31" s="17"/>
      <c r="Q31" s="18"/>
    </row>
    <row r="32" spans="14:25">
      <c r="N32" s="16"/>
      <c r="O32" s="17"/>
      <c r="P32" s="17"/>
      <c r="Q32" s="18"/>
    </row>
    <row r="33" spans="14:17">
      <c r="N33" s="16"/>
      <c r="O33" s="17"/>
      <c r="P33" s="17"/>
      <c r="Q33" s="18"/>
    </row>
    <row r="34" spans="14:17">
      <c r="N34" s="16"/>
      <c r="O34" s="17"/>
      <c r="P34" s="17"/>
      <c r="Q34" s="18"/>
    </row>
    <row r="35" spans="14:17">
      <c r="N35" s="19"/>
      <c r="O35" s="20"/>
      <c r="P35" s="20"/>
      <c r="Q35" s="21"/>
    </row>
  </sheetData>
  <mergeCells count="4">
    <mergeCell ref="N18:Y18"/>
    <mergeCell ref="N5:P10"/>
    <mergeCell ref="N19:Y25"/>
    <mergeCell ref="N29:Q35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Dashboard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tooba</dc:creator>
  <cp:lastModifiedBy>tooba</cp:lastModifiedBy>
  <dcterms:created xsi:type="dcterms:W3CDTF">2026-07-20T07:49:34Z</dcterms:created>
  <dcterms:modified xsi:type="dcterms:W3CDTF">2026-07-20T14:03:02Z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EC50F2986A4647EAB3F7D21B21F8272E_11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